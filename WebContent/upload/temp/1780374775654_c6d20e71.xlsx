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66925"/>
  <mc:AlternateContent xmlns:mc="http://schemas.openxmlformats.org/markup-compatibility/2006">
    <mc:Choice Requires="x15">
      <x15ac:absPath xmlns:x15ac="http://schemas.microsoft.com/office/spreadsheetml/2010/11/ac" url="G:\マイドライブ\★面談練習\★スキルシート\★田中柊星\"/>
    </mc:Choice>
  </mc:AlternateContent>
  <xr:revisionPtr revIDLastSave="0" documentId="13_ncr:1_{FF5FD2DE-0DF2-4E13-8BA9-6D8AF96CC69A}" xr6:coauthVersionLast="47" xr6:coauthVersionMax="47" xr10:uidLastSave="{00000000-0000-0000-0000-000000000000}"/>
  <bookViews>
    <workbookView xWindow="-110" yWindow="-110" windowWidth="19420" windowHeight="11500" xr2:uid="{5F891F0A-A5BA-4E9F-87F1-15D91A74EB65}"/>
  </bookViews>
  <sheets>
    <sheet name="スキルシート" sheetId="3" r:id="rId1"/>
  </sheets>
  <definedNames>
    <definedName name="_xlnm.Print_Area" localSheetId="0">スキルシート!$A$1:$AV$57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2" i="3" l="1"/>
  <c r="D26" i="3" l="1"/>
  <c r="AI4" i="3" s="1"/>
  <c r="AM1" i="3"/>
</calcChain>
</file>

<file path=xl/sharedStrings.xml><?xml version="1.0" encoding="utf-8"?>
<sst xmlns="http://schemas.openxmlformats.org/spreadsheetml/2006/main" count="77" uniqueCount="63">
  <si>
    <t>現在</t>
  </si>
  <si>
    <t>カナ</t>
  </si>
  <si>
    <t>年齢</t>
  </si>
  <si>
    <t>性別</t>
  </si>
  <si>
    <t>氏名</t>
  </si>
  <si>
    <t>現住所</t>
  </si>
  <si>
    <t>免許/資格</t>
  </si>
  <si>
    <t>業務スキル</t>
  </si>
  <si>
    <t>A.要件定義</t>
  </si>
  <si>
    <t>B.外部設計・基本設計</t>
  </si>
  <si>
    <t>C.内部設計・詳細設計</t>
  </si>
  <si>
    <t>D.プログラム製造・単体テスト</t>
  </si>
  <si>
    <t>役　割</t>
  </si>
  <si>
    <t>PM.プロジェクトマネージャ</t>
  </si>
  <si>
    <t>PL.プロジェクトリーダ</t>
  </si>
  <si>
    <t>SL.サブリーダ</t>
  </si>
  <si>
    <t>M.メンバ</t>
  </si>
  <si>
    <t>O.その他</t>
  </si>
  <si>
    <t>業務経歴書</t>
    <rPh sb="0" eb="2">
      <t>ギョウム</t>
    </rPh>
    <rPh sb="2" eb="4">
      <t>ケイレキ</t>
    </rPh>
    <rPh sb="4" eb="5">
      <t>カ</t>
    </rPh>
    <phoneticPr fontId="2"/>
  </si>
  <si>
    <t>No</t>
    <phoneticPr fontId="2"/>
  </si>
  <si>
    <t>期間</t>
    <rPh sb="0" eb="2">
      <t>キカン</t>
    </rPh>
    <phoneticPr fontId="2"/>
  </si>
  <si>
    <t>～</t>
    <phoneticPr fontId="2"/>
  </si>
  <si>
    <t>案件名</t>
    <rPh sb="0" eb="2">
      <t>アンケン</t>
    </rPh>
    <rPh sb="2" eb="3">
      <t>メイ</t>
    </rPh>
    <phoneticPr fontId="2"/>
  </si>
  <si>
    <t>工程</t>
    <rPh sb="0" eb="2">
      <t>コウテイ</t>
    </rPh>
    <phoneticPr fontId="2"/>
  </si>
  <si>
    <t>役割</t>
    <rPh sb="0" eb="2">
      <t>ヤクワリ</t>
    </rPh>
    <phoneticPr fontId="2"/>
  </si>
  <si>
    <t>開発環境</t>
    <rPh sb="0" eb="2">
      <t>カイハツ</t>
    </rPh>
    <rPh sb="2" eb="4">
      <t>カンキョウ</t>
    </rPh>
    <phoneticPr fontId="2"/>
  </si>
  <si>
    <t>DB</t>
    <phoneticPr fontId="2"/>
  </si>
  <si>
    <t>メンバー
体制</t>
    <rPh sb="5" eb="7">
      <t>タイセイ</t>
    </rPh>
    <phoneticPr fontId="2"/>
  </si>
  <si>
    <t>E.構築</t>
    <rPh sb="2" eb="4">
      <t>コウチク</t>
    </rPh>
    <phoneticPr fontId="2"/>
  </si>
  <si>
    <t>F.結合テスト</t>
    <phoneticPr fontId="2"/>
  </si>
  <si>
    <t>G.総合テスト</t>
    <phoneticPr fontId="2"/>
  </si>
  <si>
    <t>H.サポート</t>
    <phoneticPr fontId="2"/>
  </si>
  <si>
    <t>I.運用・保守</t>
    <phoneticPr fontId="2"/>
  </si>
  <si>
    <t>J.その他</t>
    <rPh sb="4" eb="5">
      <t>タ</t>
    </rPh>
    <phoneticPr fontId="2"/>
  </si>
  <si>
    <t>環境</t>
    <rPh sb="0" eb="2">
      <t>カンキョウ</t>
    </rPh>
    <phoneticPr fontId="2"/>
  </si>
  <si>
    <t>OS</t>
    <phoneticPr fontId="2"/>
  </si>
  <si>
    <t>男</t>
    <rPh sb="0" eb="1">
      <t>オトコ</t>
    </rPh>
    <phoneticPr fontId="2"/>
  </si>
  <si>
    <t>M</t>
    <phoneticPr fontId="2"/>
  </si>
  <si>
    <t>経験年数</t>
  </si>
  <si>
    <t>最 寄 駅</t>
  </si>
  <si>
    <t>最終学歴</t>
    <rPh sb="0" eb="2">
      <t>サイシュウ</t>
    </rPh>
    <phoneticPr fontId="2"/>
  </si>
  <si>
    <t>業務内容</t>
    <rPh sb="0" eb="2">
      <t>ギョウム</t>
    </rPh>
    <rPh sb="2" eb="4">
      <t>ナイヨウ</t>
    </rPh>
    <phoneticPr fontId="2"/>
  </si>
  <si>
    <t>Windows 11</t>
    <phoneticPr fontId="2"/>
  </si>
  <si>
    <t>言語</t>
    <rPh sb="0" eb="2">
      <t>ゲンゴ</t>
    </rPh>
    <phoneticPr fontId="2"/>
  </si>
  <si>
    <t>MySQL</t>
    <phoneticPr fontId="2"/>
  </si>
  <si>
    <t>FW
Tool</t>
    <phoneticPr fontId="2"/>
  </si>
  <si>
    <t>自社内研修におけるJava Webアプリケーションの改修、およびデータベース操作・環境構築</t>
    <rPh sb="0" eb="2">
      <t>ジシャ</t>
    </rPh>
    <rPh sb="2" eb="3">
      <t>ナイ</t>
    </rPh>
    <rPh sb="3" eb="5">
      <t>ケンシュウ</t>
    </rPh>
    <rPh sb="26" eb="28">
      <t>カイシュウ</t>
    </rPh>
    <rPh sb="38" eb="40">
      <t>ソウサ</t>
    </rPh>
    <rPh sb="41" eb="43">
      <t>カンキョウ</t>
    </rPh>
    <rPh sb="43" eb="45">
      <t>コウチク</t>
    </rPh>
    <phoneticPr fontId="2"/>
  </si>
  <si>
    <t>■ 担当業務
【既存システムのバグ改修と機能追加（Java/Servlet/JSP）】
　・MVCモデルに基づく既存ソースコードの解読と不具合原因の特定。
　・セッション管理や画面遷移の適切な制御処理の実装。
　・権限に応じた条件分岐や、ハッシュ化アルゴリズムを用いたセキュアなパスワード認証ロジックの実装。
【データ抽出とトランザクション制御（MySQL）】
　・内部結合・外部結合、サブクエリ、各種関数（CASE、TIMESTAMPDIFF等）を用いたデータ抽出・集計処理。
　・DDL/DML操作におけるトランザクションを意識した安全なデータ更新。
　・実務を想定した、実行結果の正確なエビデンス取得と提出。
【開発環境構築とドキュメント作成（Git/ドキュメント）】
　・Eclipse、A5:SQL Mk-2を用いた開発環境・DB接続環境の構築。
　・Git/GitHub、TortoiseGitを用いたバージョン管理とブランチ運用の基礎。
　・第三者が迷わず作業できるレベルの、画面キャプチャを交えた「環境構築手順書」の作成。</t>
    <phoneticPr fontId="2"/>
  </si>
  <si>
    <t>Java
HTML/CSS
JavaScript</t>
    <phoneticPr fontId="2"/>
  </si>
  <si>
    <t>BtoB向け受発注管理システムの改修</t>
    <phoneticPr fontId="2"/>
  </si>
  <si>
    <t>C,D</t>
    <phoneticPr fontId="2"/>
  </si>
  <si>
    <t>4人</t>
    <rPh sb="1" eb="2">
      <t>ニン</t>
    </rPh>
    <phoneticPr fontId="2"/>
  </si>
  <si>
    <t>Java</t>
    <phoneticPr fontId="2"/>
  </si>
  <si>
    <t>HTML, CSS, JavaScript</t>
    <phoneticPr fontId="2"/>
  </si>
  <si>
    <t>jQuery, SQL</t>
    <phoneticPr fontId="2"/>
  </si>
  <si>
    <t>Servlet
JSP
Eclipse
Git
GitHub
TortoiseGit
A5:SQL Mk-2
Excel
Teams</t>
    <phoneticPr fontId="2"/>
  </si>
  <si>
    <t>（例）東京都世田谷区</t>
    <rPh sb="3" eb="6">
      <t>トウキョウト</t>
    </rPh>
    <rPh sb="6" eb="10">
      <t>セタガヤク</t>
    </rPh>
    <phoneticPr fontId="2"/>
  </si>
  <si>
    <t>（例）渋谷駅</t>
    <rPh sb="3" eb="5">
      <t>シブヤ</t>
    </rPh>
    <rPh sb="5" eb="6">
      <t>エキ</t>
    </rPh>
    <phoneticPr fontId="2"/>
  </si>
  <si>
    <t>（例）高等学校卒業</t>
    <rPh sb="3" eb="7">
      <t>コウトウガッコウ</t>
    </rPh>
    <rPh sb="7" eb="9">
      <t>ソツギョウ</t>
    </rPh>
    <phoneticPr fontId="2"/>
  </si>
  <si>
    <t>（例）普通自動車免許</t>
  </si>
  <si>
    <t>Eclipse
Git
GitHub
jQuery
TortoiseGit
A5:SQL Mk-2
Excel</t>
    <phoneticPr fontId="2"/>
  </si>
  <si>
    <t>■ 担当業務
月間数千件の取引を処理する既存の受発注管理システム（Java/Servletベース）における不具合調査、
および業務効率化に向けた追加機能の設計・実装を担当。
【バックエンド・フロントエンド開発】
　・MVCアーキテクチャに基づく既存ソースコードの解読、影響調査、およびバグ改修。
　・ユーザー権限に応じた画面表示の制御、
　　およびハッシュ化アルゴリズムを用いたセキュアなログイン認証ロジックの実装。
　・HTML/CSS、JavaScriptをベースとし、jQueryを活用した非同期での入力チェックや、
　　動的なUI操作の実装により、ユーザーの入力操作時間を約20%軽減。
【データベース操作・チューニング】
　・受注実績や顧客データを抽出・集計するため、
　　MySQLにて5テーブル以上を結合するJOIN（内部・外部結合）、サブクエリ、各種関数を駆使したSQL作成。
　・複数テーブルをまたぐ処理において、
　　データの不整合を防ぐためのトランザクション制御を意識したデータ更新（DML）の実装。
【テスト・環境構築・ドキュメント作成】
　・単体テストの実施（1画面あたり約40ケース）、
　　およびA5:SQL Mk-2を利用した実行結果のエビデンス取得と提出。
　・Git/GitHub（TortoiseGit）を用いたブランチ運用・バージョン管理。
　・新規参画者がスムーズに開発に合流できるよう、ローカル環境構築手順書の作成と継続的な整備。</t>
    <phoneticPr fontId="2"/>
  </si>
  <si>
    <t>S.T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</si>
</sst>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ggge&quot;年&quot;mm&quot;月&quot;dd&quot;日&quot;"/>
    <numFmt numFmtId="177" formatCode="ggge&quot;年&quot;m&quot;月&quot;d&quot;日&quot;;@"/>
    <numFmt numFmtId="178" formatCode="##&quot; 歳&quot;"/>
    <numFmt numFmtId="179" formatCode="##&quot;ヶ月&quot;"/>
    <numFmt numFmtId="180" formatCode="yyyy&quot;/&quot;m"/>
  </numFmts>
  <fonts count="10" x14ac:knownFonts="1">
    <font>
      <sz val="11"/>
      <color theme="1"/>
      <name val="游ゴシック"/>
      <family val="2"/>
      <charset val="128"/>
      <scheme val="minor"/>
    </font>
    <font>
      <b/>
      <sz val="12"/>
      <name val="ＭＳ 明朝"/>
      <family val="1"/>
      <charset val="128"/>
    </font>
    <font>
      <sz val="6"/>
      <name val="游ゴシック"/>
      <family val="2"/>
      <charset val="128"/>
      <scheme val="minor"/>
    </font>
    <font>
      <sz val="12"/>
      <name val="ＭＳ 明朝"/>
      <family val="1"/>
      <charset val="128"/>
    </font>
    <font>
      <sz val="11"/>
      <name val="ＭＳ 明朝"/>
      <family val="1"/>
      <charset val="128"/>
    </font>
    <font>
      <sz val="11"/>
      <color theme="1"/>
      <name val="游ゴシック"/>
      <family val="3"/>
      <charset val="128"/>
      <scheme val="minor"/>
    </font>
    <font>
      <b/>
      <sz val="14"/>
      <name val="ＭＳ 明朝"/>
      <family val="1"/>
      <charset val="128"/>
    </font>
    <font>
      <sz val="11"/>
      <name val="ＭＳ Ｐゴシック"/>
      <family val="3"/>
      <charset val="128"/>
    </font>
    <font>
      <sz val="10"/>
      <name val="ＭＳ Ｐゴシック"/>
      <family val="3"/>
      <charset val="128"/>
    </font>
    <font>
      <sz val="11"/>
      <name val="游ゴシック"/>
      <family val="2"/>
      <charset val="128"/>
      <scheme val="minor"/>
    </font>
  </fonts>
  <fills count="7">
    <fill>
      <patternFill patternType="none"/>
    </fill>
    <fill>
      <patternFill patternType="gray125"/>
    </fill>
    <fill>
      <patternFill patternType="solid">
        <fgColor theme="0"/>
        <bgColor rgb="FF969696"/>
      </patternFill>
    </fill>
    <fill>
      <patternFill patternType="solid">
        <fgColor theme="0"/>
        <bgColor indexed="64"/>
      </patternFill>
    </fill>
    <fill>
      <patternFill patternType="solid">
        <fgColor theme="0"/>
        <bgColor rgb="FFFFFFCC"/>
      </patternFill>
    </fill>
    <fill>
      <patternFill patternType="solid">
        <fgColor theme="0" tint="-0.14999847407452621"/>
        <bgColor rgb="FFFFFFCC"/>
      </patternFill>
    </fill>
    <fill>
      <patternFill patternType="solid">
        <fgColor theme="0" tint="-0.14999847407452621"/>
        <bgColor rgb="FFBFBFBF"/>
      </patternFill>
    </fill>
  </fills>
  <borders count="38">
    <border>
      <left/>
      <right/>
      <top/>
      <bottom/>
      <diagonal/>
    </border>
    <border>
      <left style="medium">
        <color auto="1"/>
      </left>
      <right style="thin">
        <color auto="1"/>
      </right>
      <top style="medium">
        <color auto="1"/>
      </top>
      <bottom style="hair">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thin">
        <color auto="1"/>
      </left>
      <right/>
      <top style="medium">
        <color indexed="64"/>
      </top>
      <bottom style="medium">
        <color auto="1"/>
      </bottom>
      <diagonal/>
    </border>
    <border>
      <left/>
      <right style="medium">
        <color auto="1"/>
      </right>
      <top style="medium">
        <color indexed="64"/>
      </top>
      <bottom style="medium">
        <color auto="1"/>
      </bottom>
      <diagonal/>
    </border>
    <border>
      <left style="thin">
        <color auto="1"/>
      </left>
      <right/>
      <top/>
      <bottom/>
      <diagonal/>
    </border>
    <border>
      <left/>
      <right style="thin">
        <color auto="1"/>
      </right>
      <top/>
      <bottom/>
      <diagonal/>
    </border>
    <border>
      <left style="medium">
        <color auto="1"/>
      </left>
      <right/>
      <top style="medium">
        <color auto="1"/>
      </top>
      <bottom style="medium">
        <color auto="1"/>
      </bottom>
      <diagonal/>
    </border>
    <border>
      <left/>
      <right style="medium">
        <color indexed="64"/>
      </right>
      <top/>
      <bottom style="thin">
        <color auto="1"/>
      </bottom>
      <diagonal/>
    </border>
  </borders>
  <cellStyleXfs count="4">
    <xf numFmtId="0" fontId="0" fillId="0" borderId="0">
      <alignment vertical="center"/>
    </xf>
    <xf numFmtId="0" fontId="5" fillId="0" borderId="0">
      <alignment vertical="center"/>
    </xf>
    <xf numFmtId="0" fontId="7" fillId="0" borderId="0"/>
    <xf numFmtId="0" fontId="7" fillId="0" borderId="0"/>
  </cellStyleXfs>
  <cellXfs count="148">
    <xf numFmtId="0" fontId="0" fillId="0" borderId="0" xfId="0">
      <alignment vertical="center"/>
    </xf>
    <xf numFmtId="0" fontId="1" fillId="3" borderId="0" xfId="0" applyFont="1" applyFill="1">
      <alignment vertical="center"/>
    </xf>
    <xf numFmtId="0" fontId="3" fillId="3" borderId="0" xfId="0" applyFont="1" applyFill="1">
      <alignment vertical="center"/>
    </xf>
    <xf numFmtId="177" fontId="3" fillId="3" borderId="0" xfId="0" applyNumberFormat="1" applyFont="1" applyFill="1" applyAlignment="1">
      <alignment horizontal="center" vertical="center"/>
    </xf>
    <xf numFmtId="0" fontId="1" fillId="2" borderId="0" xfId="0" applyFont="1" applyFill="1" applyAlignment="1">
      <alignment horizontal="center" vertical="center"/>
    </xf>
    <xf numFmtId="0" fontId="3" fillId="2" borderId="0" xfId="0" applyFont="1" applyFill="1">
      <alignment vertical="center"/>
    </xf>
    <xf numFmtId="0" fontId="3" fillId="2" borderId="0" xfId="0" applyFont="1" applyFill="1" applyAlignment="1">
      <alignment horizontal="center" vertical="center"/>
    </xf>
    <xf numFmtId="0" fontId="3" fillId="2" borderId="0" xfId="0" applyFont="1" applyFill="1" applyAlignment="1">
      <alignment horizontal="left" vertical="center" wrapText="1"/>
    </xf>
    <xf numFmtId="0" fontId="3" fillId="4" borderId="22" xfId="0" applyFont="1" applyFill="1" applyBorder="1">
      <alignment vertical="center"/>
    </xf>
    <xf numFmtId="0" fontId="3" fillId="4" borderId="23" xfId="0" applyFont="1" applyFill="1" applyBorder="1">
      <alignment vertical="center"/>
    </xf>
    <xf numFmtId="0" fontId="3" fillId="4" borderId="19" xfId="0" applyFont="1" applyFill="1" applyBorder="1">
      <alignment vertical="center"/>
    </xf>
    <xf numFmtId="0" fontId="3" fillId="4" borderId="20" xfId="0" applyFont="1" applyFill="1" applyBorder="1">
      <alignment vertical="center"/>
    </xf>
    <xf numFmtId="0" fontId="8" fillId="0" borderId="0" xfId="2" applyFont="1" applyAlignment="1">
      <alignment horizontal="left" vertical="center" wrapText="1"/>
    </xf>
    <xf numFmtId="0" fontId="1" fillId="2" borderId="0" xfId="0" applyFont="1" applyFill="1">
      <alignment vertical="center"/>
    </xf>
    <xf numFmtId="0" fontId="8" fillId="3" borderId="0" xfId="2" applyFont="1" applyFill="1" applyAlignment="1">
      <alignment horizontal="left" vertical="center" wrapText="1"/>
    </xf>
    <xf numFmtId="0" fontId="9" fillId="0" borderId="0" xfId="0" applyFont="1">
      <alignment vertical="center"/>
    </xf>
    <xf numFmtId="0" fontId="9" fillId="3" borderId="0" xfId="0" applyFont="1" applyFill="1">
      <alignment vertical="center"/>
    </xf>
    <xf numFmtId="0" fontId="9" fillId="0" borderId="15" xfId="0" applyFont="1" applyBorder="1">
      <alignment vertical="center"/>
    </xf>
    <xf numFmtId="0" fontId="3" fillId="2" borderId="12" xfId="0" applyFont="1" applyFill="1" applyBorder="1" applyAlignment="1">
      <alignment horizontal="left" vertical="top"/>
    </xf>
    <xf numFmtId="0" fontId="3" fillId="2" borderId="31" xfId="0" applyFont="1" applyFill="1" applyBorder="1" applyAlignment="1">
      <alignment horizontal="left" vertical="top"/>
    </xf>
    <xf numFmtId="0" fontId="3" fillId="2" borderId="34" xfId="0" applyFont="1" applyFill="1" applyBorder="1" applyAlignment="1">
      <alignment horizontal="left" vertical="top"/>
    </xf>
    <xf numFmtId="0" fontId="3" fillId="2" borderId="0" xfId="0" applyFont="1" applyFill="1" applyAlignment="1">
      <alignment horizontal="left" vertical="top"/>
    </xf>
    <xf numFmtId="0" fontId="3" fillId="2" borderId="35" xfId="0" applyFont="1" applyFill="1" applyBorder="1" applyAlignment="1">
      <alignment horizontal="left" vertical="top"/>
    </xf>
    <xf numFmtId="0" fontId="3" fillId="2" borderId="14" xfId="0" applyFont="1" applyFill="1" applyBorder="1" applyAlignment="1">
      <alignment horizontal="left" vertical="top"/>
    </xf>
    <xf numFmtId="0" fontId="3" fillId="2" borderId="15" xfId="0" applyFont="1" applyFill="1" applyBorder="1" applyAlignment="1">
      <alignment horizontal="left" vertical="top"/>
    </xf>
    <xf numFmtId="0" fontId="3" fillId="2" borderId="7" xfId="0" applyFont="1" applyFill="1" applyBorder="1" applyAlignment="1">
      <alignment horizontal="left" vertical="top"/>
    </xf>
    <xf numFmtId="0" fontId="9" fillId="0" borderId="12" xfId="0" applyFont="1" applyBorder="1">
      <alignment vertical="center"/>
    </xf>
    <xf numFmtId="0" fontId="4" fillId="3" borderId="0" xfId="0" applyFont="1" applyFill="1">
      <alignment vertical="center"/>
    </xf>
    <xf numFmtId="0" fontId="1" fillId="6" borderId="17" xfId="0" applyFont="1" applyFill="1" applyBorder="1" applyAlignment="1">
      <alignment horizontal="center" vertical="center"/>
    </xf>
    <xf numFmtId="0" fontId="3" fillId="3" borderId="11"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3" fillId="3" borderId="18" xfId="0" applyFont="1" applyFill="1" applyBorder="1" applyAlignment="1">
      <alignment vertical="center" wrapText="1"/>
    </xf>
    <xf numFmtId="0" fontId="3" fillId="3" borderId="19" xfId="0" applyFont="1" applyFill="1" applyBorder="1" applyAlignment="1">
      <alignment vertical="center" wrapText="1"/>
    </xf>
    <xf numFmtId="0" fontId="3" fillId="3" borderId="20" xfId="0" applyFont="1" applyFill="1" applyBorder="1" applyAlignment="1">
      <alignment vertical="center" wrapText="1"/>
    </xf>
    <xf numFmtId="0" fontId="1" fillId="5" borderId="29" xfId="0" applyFont="1" applyFill="1" applyBorder="1" applyAlignment="1">
      <alignment horizontal="center" vertical="center"/>
    </xf>
    <xf numFmtId="0" fontId="1" fillId="5" borderId="24" xfId="0" applyFont="1" applyFill="1" applyBorder="1" applyAlignment="1">
      <alignment horizontal="center" vertical="center"/>
    </xf>
    <xf numFmtId="0" fontId="1" fillId="6" borderId="8" xfId="0" applyFont="1" applyFill="1" applyBorder="1" applyAlignment="1">
      <alignment horizontal="center" vertical="center"/>
    </xf>
    <xf numFmtId="0" fontId="3" fillId="3" borderId="11" xfId="0" applyFont="1" applyFill="1" applyBorder="1" applyAlignment="1">
      <alignment horizontal="left" vertical="center"/>
    </xf>
    <xf numFmtId="0" fontId="3" fillId="3" borderId="12" xfId="0" applyFont="1" applyFill="1" applyBorder="1" applyAlignment="1">
      <alignment horizontal="left" vertical="center"/>
    </xf>
    <xf numFmtId="0" fontId="3" fillId="3" borderId="14" xfId="0" applyFont="1" applyFill="1" applyBorder="1" applyAlignment="1">
      <alignment horizontal="left" vertical="center"/>
    </xf>
    <xf numFmtId="0" fontId="3" fillId="3" borderId="15" xfId="0" applyFont="1" applyFill="1" applyBorder="1" applyAlignment="1">
      <alignment horizontal="left" vertical="center"/>
    </xf>
    <xf numFmtId="0" fontId="3" fillId="4" borderId="32" xfId="0" applyFont="1" applyFill="1" applyBorder="1">
      <alignment vertical="center"/>
    </xf>
    <xf numFmtId="0" fontId="3" fillId="4" borderId="25" xfId="0" applyFont="1" applyFill="1" applyBorder="1">
      <alignment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3" fillId="3" borderId="16" xfId="0" applyFont="1" applyFill="1" applyBorder="1" applyAlignment="1">
      <alignment horizontal="left"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37" xfId="0" applyFont="1" applyFill="1" applyBorder="1" applyAlignment="1">
      <alignment horizontal="center" vertical="center"/>
    </xf>
    <xf numFmtId="0" fontId="3" fillId="4" borderId="33" xfId="0" applyFont="1" applyFill="1" applyBorder="1">
      <alignment vertical="center"/>
    </xf>
    <xf numFmtId="0" fontId="3" fillId="4" borderId="27" xfId="0" applyFont="1" applyFill="1" applyBorder="1">
      <alignment vertical="center"/>
    </xf>
    <xf numFmtId="0" fontId="3" fillId="4" borderId="28" xfId="0" applyFont="1" applyFill="1" applyBorder="1">
      <alignment vertical="center"/>
    </xf>
    <xf numFmtId="0" fontId="3" fillId="4" borderId="26" xfId="0" applyFont="1" applyFill="1" applyBorder="1">
      <alignment vertical="center"/>
    </xf>
    <xf numFmtId="176" fontId="4" fillId="3" borderId="0" xfId="0" applyNumberFormat="1" applyFont="1" applyFill="1" applyAlignment="1">
      <alignment horizontal="center"/>
    </xf>
    <xf numFmtId="0" fontId="6" fillId="5" borderId="36"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33" xfId="0" applyFont="1" applyFill="1" applyBorder="1" applyAlignment="1">
      <alignment horizontal="center" vertical="center"/>
    </xf>
    <xf numFmtId="0" fontId="1" fillId="6" borderId="1" xfId="0" applyFont="1" applyFill="1" applyBorder="1" applyAlignment="1">
      <alignment horizontal="center" vertical="center"/>
    </xf>
    <xf numFmtId="0" fontId="3" fillId="3" borderId="2" xfId="0" applyFont="1" applyFill="1" applyBorder="1" applyAlignment="1">
      <alignment horizontal="center" vertical="center"/>
    </xf>
    <xf numFmtId="0" fontId="1" fillId="6" borderId="2" xfId="0" applyFont="1" applyFill="1" applyBorder="1" applyAlignment="1">
      <alignment horizontal="center" vertical="center"/>
    </xf>
    <xf numFmtId="178" fontId="3" fillId="3" borderId="3" xfId="0" applyNumberFormat="1" applyFont="1" applyFill="1" applyBorder="1" applyAlignment="1">
      <alignment horizontal="center" vertical="center"/>
    </xf>
    <xf numFmtId="0" fontId="1" fillId="6" borderId="4"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1" fillId="6" borderId="6" xfId="0" applyFont="1" applyFill="1" applyBorder="1" applyAlignment="1">
      <alignment horizontal="center" vertical="center"/>
    </xf>
    <xf numFmtId="0" fontId="3" fillId="3" borderId="7" xfId="0" applyFont="1" applyFill="1" applyBorder="1" applyAlignment="1">
      <alignment horizontal="center" vertical="center"/>
    </xf>
    <xf numFmtId="0" fontId="1" fillId="5" borderId="21"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30" xfId="0" applyFont="1" applyFill="1" applyBorder="1" applyAlignment="1">
      <alignment horizontal="center" vertical="center"/>
    </xf>
    <xf numFmtId="0" fontId="3" fillId="2" borderId="11" xfId="0" applyFont="1" applyFill="1" applyBorder="1" applyAlignment="1">
      <alignment horizontal="left" vertical="top" wrapText="1"/>
    </xf>
    <xf numFmtId="0" fontId="3" fillId="2" borderId="12" xfId="0" applyFont="1" applyFill="1" applyBorder="1" applyAlignment="1">
      <alignment horizontal="left" vertical="top"/>
    </xf>
    <xf numFmtId="0" fontId="3" fillId="2" borderId="31" xfId="0" applyFont="1" applyFill="1" applyBorder="1" applyAlignment="1">
      <alignment horizontal="left" vertical="top"/>
    </xf>
    <xf numFmtId="0" fontId="3" fillId="2" borderId="34" xfId="0" applyFont="1" applyFill="1" applyBorder="1" applyAlignment="1">
      <alignment horizontal="left" vertical="top"/>
    </xf>
    <xf numFmtId="0" fontId="3" fillId="2" borderId="0" xfId="0" applyFont="1" applyFill="1" applyAlignment="1">
      <alignment horizontal="left" vertical="top"/>
    </xf>
    <xf numFmtId="0" fontId="3" fillId="2" borderId="35" xfId="0" applyFont="1" applyFill="1" applyBorder="1" applyAlignment="1">
      <alignment horizontal="left" vertical="top"/>
    </xf>
    <xf numFmtId="0" fontId="3" fillId="2" borderId="14" xfId="0" applyFont="1" applyFill="1" applyBorder="1" applyAlignment="1">
      <alignment horizontal="left" vertical="top"/>
    </xf>
    <xf numFmtId="0" fontId="3" fillId="2" borderId="15" xfId="0" applyFont="1" applyFill="1" applyBorder="1" applyAlignment="1">
      <alignment horizontal="left" vertical="top"/>
    </xf>
    <xf numFmtId="0" fontId="3" fillId="2" borderId="7" xfId="0" applyFont="1" applyFill="1" applyBorder="1" applyAlignment="1">
      <alignment horizontal="left" vertical="top"/>
    </xf>
    <xf numFmtId="0" fontId="3" fillId="2" borderId="10"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30" xfId="0" applyFont="1" applyFill="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0" borderId="30" xfId="0" applyFont="1" applyBorder="1" applyAlignment="1">
      <alignment horizontal="center" vertical="center"/>
    </xf>
    <xf numFmtId="0" fontId="1" fillId="5" borderId="10"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5"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4" xfId="0" applyFont="1" applyFill="1" applyBorder="1" applyAlignment="1">
      <alignment horizontal="left" vertical="top" wrapText="1"/>
    </xf>
    <xf numFmtId="0" fontId="3" fillId="2" borderId="0" xfId="0" applyFont="1" applyFill="1" applyAlignment="1">
      <alignment horizontal="left" vertical="top" wrapText="1"/>
    </xf>
    <xf numFmtId="0" fontId="3" fillId="2" borderId="35" xfId="0" applyFont="1" applyFill="1" applyBorder="1" applyAlignment="1">
      <alignment horizontal="left" vertical="top" wrapText="1"/>
    </xf>
    <xf numFmtId="179" fontId="3" fillId="2" borderId="11" xfId="0" applyNumberFormat="1" applyFont="1" applyFill="1" applyBorder="1" applyAlignment="1">
      <alignment horizontal="center" vertical="center"/>
    </xf>
    <xf numFmtId="179" fontId="3" fillId="2" borderId="12" xfId="0" applyNumberFormat="1" applyFont="1" applyFill="1" applyBorder="1" applyAlignment="1">
      <alignment horizontal="center" vertical="center"/>
    </xf>
    <xf numFmtId="179" fontId="3" fillId="2" borderId="31" xfId="0" applyNumberFormat="1" applyFont="1" applyFill="1" applyBorder="1" applyAlignment="1">
      <alignment horizontal="center" vertical="center"/>
    </xf>
    <xf numFmtId="179" fontId="3" fillId="2" borderId="34" xfId="0" applyNumberFormat="1" applyFont="1" applyFill="1" applyBorder="1" applyAlignment="1">
      <alignment horizontal="center" vertical="center"/>
    </xf>
    <xf numFmtId="179" fontId="3" fillId="2" borderId="0" xfId="0" applyNumberFormat="1" applyFont="1" applyFill="1" applyAlignment="1">
      <alignment horizontal="center" vertical="center"/>
    </xf>
    <xf numFmtId="179" fontId="3" fillId="2" borderId="35" xfId="0" applyNumberFormat="1" applyFont="1" applyFill="1" applyBorder="1" applyAlignment="1">
      <alignment horizontal="center" vertical="center"/>
    </xf>
    <xf numFmtId="179" fontId="3" fillId="2" borderId="14" xfId="0" applyNumberFormat="1" applyFont="1" applyFill="1" applyBorder="1" applyAlignment="1">
      <alignment horizontal="center" vertical="center"/>
    </xf>
    <xf numFmtId="179" fontId="3" fillId="2" borderId="15" xfId="0" applyNumberFormat="1" applyFont="1" applyFill="1" applyBorder="1" applyAlignment="1">
      <alignment horizontal="center" vertical="center"/>
    </xf>
    <xf numFmtId="179" fontId="3" fillId="2" borderId="7" xfId="0" applyNumberFormat="1" applyFont="1" applyFill="1" applyBorder="1" applyAlignment="1">
      <alignment horizontal="center" vertical="center"/>
    </xf>
    <xf numFmtId="0" fontId="3" fillId="2" borderId="10" xfId="0" applyFont="1" applyFill="1" applyBorder="1" applyAlignment="1">
      <alignment horizontal="left" vertical="top" wrapText="1"/>
    </xf>
    <xf numFmtId="0" fontId="3" fillId="2" borderId="9" xfId="0" applyFont="1" applyFill="1" applyBorder="1" applyAlignment="1">
      <alignment horizontal="left" vertical="top" wrapText="1"/>
    </xf>
    <xf numFmtId="0" fontId="3" fillId="2" borderId="30" xfId="0" applyFont="1" applyFill="1" applyBorder="1" applyAlignment="1">
      <alignment horizontal="left" vertical="top" wrapText="1"/>
    </xf>
    <xf numFmtId="0" fontId="1" fillId="5" borderId="16"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7" xfId="0" applyFont="1" applyFill="1" applyBorder="1" applyAlignment="1">
      <alignment horizontal="center" vertical="center"/>
    </xf>
    <xf numFmtId="180" fontId="3" fillId="2" borderId="16" xfId="0" applyNumberFormat="1" applyFont="1" applyFill="1" applyBorder="1" applyAlignment="1">
      <alignment horizontal="center" vertical="center"/>
    </xf>
    <xf numFmtId="0" fontId="3" fillId="2" borderId="34" xfId="0" applyFont="1" applyFill="1" applyBorder="1" applyAlignment="1">
      <alignment horizontal="center" vertical="center" textRotation="180"/>
    </xf>
    <xf numFmtId="0" fontId="3" fillId="2" borderId="0" xfId="0" applyFont="1" applyFill="1" applyAlignment="1">
      <alignment horizontal="center" vertical="center" textRotation="180"/>
    </xf>
    <xf numFmtId="0" fontId="3" fillId="2" borderId="35" xfId="0" applyFont="1" applyFill="1" applyBorder="1" applyAlignment="1">
      <alignment horizontal="center" vertical="center" textRotation="180"/>
    </xf>
    <xf numFmtId="0" fontId="3" fillId="2" borderId="14" xfId="0" applyFont="1" applyFill="1" applyBorder="1" applyAlignment="1">
      <alignment horizontal="center" vertical="center" textRotation="180"/>
    </xf>
    <xf numFmtId="0" fontId="3" fillId="2" borderId="15" xfId="0" applyFont="1" applyFill="1" applyBorder="1" applyAlignment="1">
      <alignment horizontal="center" vertical="center" textRotation="180"/>
    </xf>
    <xf numFmtId="0" fontId="3" fillId="2" borderId="7" xfId="0" applyFont="1" applyFill="1" applyBorder="1" applyAlignment="1">
      <alignment horizontal="center" vertical="center" textRotation="180"/>
    </xf>
    <xf numFmtId="180" fontId="3" fillId="2" borderId="11" xfId="0" applyNumberFormat="1" applyFont="1" applyFill="1" applyBorder="1" applyAlignment="1">
      <alignment horizontal="center" vertical="center"/>
    </xf>
    <xf numFmtId="180" fontId="3" fillId="2" borderId="12" xfId="0" applyNumberFormat="1" applyFont="1" applyFill="1" applyBorder="1" applyAlignment="1">
      <alignment horizontal="center" vertical="center"/>
    </xf>
    <xf numFmtId="180" fontId="3" fillId="2" borderId="31" xfId="0" applyNumberFormat="1" applyFont="1" applyFill="1" applyBorder="1" applyAlignment="1">
      <alignment horizontal="center" vertical="center"/>
    </xf>
    <xf numFmtId="180" fontId="3" fillId="2" borderId="34" xfId="0" applyNumberFormat="1" applyFont="1" applyFill="1" applyBorder="1" applyAlignment="1">
      <alignment horizontal="center" vertical="center"/>
    </xf>
    <xf numFmtId="180" fontId="3" fillId="2" borderId="0" xfId="0" applyNumberFormat="1" applyFont="1" applyFill="1" applyAlignment="1">
      <alignment horizontal="center" vertical="center"/>
    </xf>
    <xf numFmtId="180" fontId="3" fillId="2" borderId="35" xfId="0" applyNumberFormat="1" applyFont="1" applyFill="1" applyBorder="1" applyAlignment="1">
      <alignment horizontal="center" vertical="center"/>
    </xf>
    <xf numFmtId="0" fontId="1" fillId="0" borderId="11" xfId="0" applyFont="1" applyBorder="1" applyAlignment="1">
      <alignment horizontal="center" vertical="center"/>
    </xf>
    <xf numFmtId="0" fontId="1" fillId="0" borderId="31" xfId="0" applyFont="1" applyBorder="1" applyAlignment="1">
      <alignment horizontal="center"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180" fontId="3" fillId="2" borderId="15" xfId="0" applyNumberFormat="1" applyFont="1" applyFill="1" applyBorder="1" applyAlignment="1">
      <alignment horizontal="center" vertical="center"/>
    </xf>
    <xf numFmtId="0" fontId="3" fillId="2" borderId="12" xfId="0" applyFont="1" applyFill="1" applyBorder="1" applyAlignment="1">
      <alignment horizontal="center" vertical="center" textRotation="180"/>
    </xf>
    <xf numFmtId="0" fontId="3" fillId="2" borderId="11"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0" xfId="0" applyFont="1" applyFill="1" applyAlignment="1">
      <alignment horizontal="center" vertical="center"/>
    </xf>
    <xf numFmtId="0" fontId="3" fillId="2" borderId="15" xfId="0" applyFont="1" applyFill="1" applyBorder="1" applyAlignment="1">
      <alignment horizontal="center" vertical="center"/>
    </xf>
    <xf numFmtId="0" fontId="1" fillId="5" borderId="12" xfId="0" applyFont="1" applyFill="1" applyBorder="1" applyAlignment="1">
      <alignment horizontal="center" vertical="center" wrapText="1"/>
    </xf>
    <xf numFmtId="0" fontId="1" fillId="5" borderId="31"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1" fillId="5" borderId="7" xfId="0" applyFont="1" applyFill="1" applyBorder="1" applyAlignment="1">
      <alignment horizontal="center" vertical="center" wrapText="1"/>
    </xf>
  </cellXfs>
  <cellStyles count="4">
    <cellStyle name="標準" xfId="0" builtinId="0"/>
    <cellStyle name="標準 2" xfId="1" xr:uid="{A32B9E40-8D92-41C3-B911-2F8C8CA5AED7}"/>
    <cellStyle name="標準 3" xfId="3" xr:uid="{676936FC-9E9C-4CE8-AB1B-D83E4265F330}"/>
    <cellStyle name="標準_経歴書" xfId="2" xr:uid="{7C30B3D3-75C4-4838-B13B-FA1FE05892FF}"/>
  </cellStyles>
  <dxfs count="0"/>
  <tableStyles count="0" defaultTableStyle="TableStyleMedium2" defaultPivotStyle="PivotStyleLight16"/>
  <colors>
    <mruColors>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89A0B-2552-44AE-9C91-CF192B56BFDE}">
  <dimension ref="A1:AW55"/>
  <sheetViews>
    <sheetView showGridLines="0" tabSelected="1" view="pageBreakPreview" zoomScaleNormal="85" zoomScaleSheetLayoutView="100" workbookViewId="0"/>
  </sheetViews>
  <sheetFormatPr defaultColWidth="3.5" defaultRowHeight="18" x14ac:dyDescent="0.55000000000000004"/>
  <cols>
    <col min="1" max="16384" width="3.5" style="15"/>
  </cols>
  <sheetData>
    <row r="1" spans="1:49" ht="18.5" thickBot="1" x14ac:dyDescent="0.25">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57">
        <f ca="1">DATE(YEAR(NOW()),MONTH(NOW()),DAY(NOW()))</f>
        <v>46164</v>
      </c>
      <c r="AN1" s="57"/>
      <c r="AO1" s="57"/>
      <c r="AP1" s="57"/>
      <c r="AQ1" s="57"/>
      <c r="AR1" s="57"/>
      <c r="AS1" s="57"/>
      <c r="AT1" s="27" t="s">
        <v>0</v>
      </c>
      <c r="AU1" s="2"/>
    </row>
    <row r="2" spans="1:49" ht="22.5" customHeight="1" thickBot="1" x14ac:dyDescent="0.6">
      <c r="A2" s="2"/>
      <c r="B2" s="58" t="s">
        <v>18</v>
      </c>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60"/>
    </row>
    <row r="3" spans="1:49" ht="18.5" thickBot="1" x14ac:dyDescent="0.6">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3"/>
      <c r="AF3" s="3"/>
      <c r="AG3" s="3"/>
      <c r="AH3" s="3"/>
      <c r="AI3" s="3"/>
      <c r="AJ3" s="3"/>
      <c r="AK3" s="2"/>
      <c r="AL3" s="2"/>
      <c r="AM3" s="2"/>
      <c r="AN3" s="2"/>
      <c r="AO3" s="2"/>
      <c r="AP3" s="2"/>
      <c r="AQ3" s="2"/>
      <c r="AR3" s="2"/>
      <c r="AS3" s="2"/>
      <c r="AT3" s="2"/>
      <c r="AU3" s="2"/>
    </row>
    <row r="4" spans="1:49" ht="18.5" thickBot="1" x14ac:dyDescent="0.6">
      <c r="A4" s="2"/>
      <c r="B4" s="61" t="s">
        <v>1</v>
      </c>
      <c r="C4" s="61"/>
      <c r="D4" s="61"/>
      <c r="E4" s="61"/>
      <c r="F4" s="62"/>
      <c r="G4" s="62"/>
      <c r="H4" s="62"/>
      <c r="I4" s="62"/>
      <c r="J4" s="62"/>
      <c r="K4" s="62"/>
      <c r="L4" s="62"/>
      <c r="M4" s="62"/>
      <c r="N4" s="62"/>
      <c r="O4" s="62"/>
      <c r="P4" s="62"/>
      <c r="Q4" s="62"/>
      <c r="R4" s="62"/>
      <c r="S4" s="62"/>
      <c r="T4" s="62"/>
      <c r="U4" s="62"/>
      <c r="V4" s="62"/>
      <c r="W4" s="62"/>
      <c r="X4" s="62"/>
      <c r="Y4" s="62"/>
      <c r="Z4" s="63" t="s">
        <v>2</v>
      </c>
      <c r="AA4" s="63"/>
      <c r="AB4" s="64"/>
      <c r="AC4" s="64"/>
      <c r="AD4" s="64"/>
      <c r="AE4" s="65" t="s">
        <v>38</v>
      </c>
      <c r="AF4" s="65"/>
      <c r="AG4" s="65"/>
      <c r="AH4" s="65"/>
      <c r="AI4" s="66" t="str">
        <f>ROUNDDOWN(SUM(D26,D42)/12,0)&amp;"年"&amp;MOD(SUM(D28,D60,D75,D97),12)&amp;"ヶ月"</f>
        <v>2年0ヶ月</v>
      </c>
      <c r="AJ4" s="66"/>
      <c r="AK4" s="66"/>
      <c r="AL4" s="66"/>
      <c r="AM4" s="66"/>
      <c r="AN4" s="66"/>
      <c r="AO4" s="66"/>
      <c r="AP4" s="66"/>
      <c r="AQ4" s="63" t="s">
        <v>3</v>
      </c>
      <c r="AR4" s="63"/>
      <c r="AS4" s="67" t="s">
        <v>36</v>
      </c>
      <c r="AT4" s="67"/>
      <c r="AU4" s="67"/>
    </row>
    <row r="5" spans="1:49" x14ac:dyDescent="0.55000000000000004">
      <c r="A5" s="2"/>
      <c r="B5" s="68" t="s">
        <v>4</v>
      </c>
      <c r="C5" s="68"/>
      <c r="D5" s="68"/>
      <c r="E5" s="68"/>
      <c r="F5" s="69" t="s">
        <v>62</v>
      </c>
      <c r="G5" s="69"/>
      <c r="H5" s="69"/>
      <c r="I5" s="69"/>
      <c r="J5" s="69"/>
      <c r="K5" s="69"/>
      <c r="L5" s="69"/>
      <c r="M5" s="69"/>
      <c r="N5" s="69"/>
      <c r="O5" s="69"/>
      <c r="P5" s="69"/>
      <c r="Q5" s="69"/>
      <c r="R5" s="69"/>
      <c r="S5" s="69"/>
      <c r="T5" s="69"/>
      <c r="U5" s="69"/>
      <c r="V5" s="69"/>
      <c r="W5" s="69"/>
      <c r="X5" s="69"/>
      <c r="Y5" s="69"/>
      <c r="Z5" s="63"/>
      <c r="AA5" s="63"/>
      <c r="AB5" s="64"/>
      <c r="AC5" s="64"/>
      <c r="AD5" s="64"/>
      <c r="AE5" s="65"/>
      <c r="AF5" s="65"/>
      <c r="AG5" s="65"/>
      <c r="AH5" s="65"/>
      <c r="AI5" s="66"/>
      <c r="AJ5" s="66"/>
      <c r="AK5" s="66"/>
      <c r="AL5" s="66"/>
      <c r="AM5" s="66"/>
      <c r="AN5" s="66"/>
      <c r="AO5" s="66"/>
      <c r="AP5" s="66"/>
      <c r="AQ5" s="63"/>
      <c r="AR5" s="63"/>
      <c r="AS5" s="67"/>
      <c r="AT5" s="67"/>
      <c r="AU5" s="67"/>
    </row>
    <row r="6" spans="1:49" x14ac:dyDescent="0.55000000000000004">
      <c r="A6" s="2"/>
      <c r="B6" s="37" t="s">
        <v>5</v>
      </c>
      <c r="C6" s="37"/>
      <c r="D6" s="37"/>
      <c r="E6" s="37"/>
      <c r="F6" s="38" t="s">
        <v>56</v>
      </c>
      <c r="G6" s="39"/>
      <c r="H6" s="39"/>
      <c r="I6" s="39"/>
      <c r="J6" s="39"/>
      <c r="K6" s="39"/>
      <c r="L6" s="39"/>
      <c r="M6" s="44" t="s">
        <v>39</v>
      </c>
      <c r="N6" s="44"/>
      <c r="O6" s="44"/>
      <c r="P6" s="44"/>
      <c r="Q6" s="46" t="s">
        <v>57</v>
      </c>
      <c r="R6" s="46"/>
      <c r="S6" s="46"/>
      <c r="T6" s="46"/>
      <c r="U6" s="46"/>
      <c r="V6" s="46"/>
      <c r="W6" s="46"/>
      <c r="X6" s="46"/>
      <c r="Y6" s="46"/>
      <c r="Z6" s="45" t="s">
        <v>40</v>
      </c>
      <c r="AA6" s="45"/>
      <c r="AB6" s="45"/>
      <c r="AC6" s="45"/>
      <c r="AD6" s="45"/>
      <c r="AE6" s="47" t="s">
        <v>58</v>
      </c>
      <c r="AF6" s="48"/>
      <c r="AG6" s="48"/>
      <c r="AH6" s="48"/>
      <c r="AI6" s="48"/>
      <c r="AJ6" s="48"/>
      <c r="AK6" s="48"/>
      <c r="AL6" s="48"/>
      <c r="AM6" s="48"/>
      <c r="AN6" s="48"/>
      <c r="AO6" s="48"/>
      <c r="AP6" s="48"/>
      <c r="AQ6" s="48"/>
      <c r="AR6" s="48"/>
      <c r="AS6" s="48"/>
      <c r="AT6" s="48"/>
      <c r="AU6" s="49"/>
    </row>
    <row r="7" spans="1:49" x14ac:dyDescent="0.55000000000000004">
      <c r="A7" s="2"/>
      <c r="B7" s="37"/>
      <c r="C7" s="37"/>
      <c r="D7" s="37"/>
      <c r="E7" s="37"/>
      <c r="F7" s="40"/>
      <c r="G7" s="41"/>
      <c r="H7" s="41"/>
      <c r="I7" s="41"/>
      <c r="J7" s="41"/>
      <c r="K7" s="41"/>
      <c r="L7" s="41"/>
      <c r="M7" s="44"/>
      <c r="N7" s="44"/>
      <c r="O7" s="44"/>
      <c r="P7" s="44"/>
      <c r="Q7" s="46"/>
      <c r="R7" s="46"/>
      <c r="S7" s="46"/>
      <c r="T7" s="46"/>
      <c r="U7" s="46"/>
      <c r="V7" s="46"/>
      <c r="W7" s="46"/>
      <c r="X7" s="46"/>
      <c r="Y7" s="46"/>
      <c r="Z7" s="45"/>
      <c r="AA7" s="45"/>
      <c r="AB7" s="45"/>
      <c r="AC7" s="45"/>
      <c r="AD7" s="45"/>
      <c r="AE7" s="50"/>
      <c r="AF7" s="51"/>
      <c r="AG7" s="51"/>
      <c r="AH7" s="51"/>
      <c r="AI7" s="51"/>
      <c r="AJ7" s="51"/>
      <c r="AK7" s="51"/>
      <c r="AL7" s="51"/>
      <c r="AM7" s="51"/>
      <c r="AN7" s="51"/>
      <c r="AO7" s="51"/>
      <c r="AP7" s="51"/>
      <c r="AQ7" s="51"/>
      <c r="AR7" s="51"/>
      <c r="AS7" s="51"/>
      <c r="AT7" s="51"/>
      <c r="AU7" s="52"/>
    </row>
    <row r="8" spans="1:49" ht="18.5" thickBot="1" x14ac:dyDescent="0.6">
      <c r="A8" s="2"/>
      <c r="B8" s="28" t="s">
        <v>6</v>
      </c>
      <c r="C8" s="28"/>
      <c r="D8" s="28"/>
      <c r="E8" s="28"/>
      <c r="F8" s="29" t="s">
        <v>59</v>
      </c>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1"/>
    </row>
    <row r="9" spans="1:49" ht="18.5" thickBot="1" x14ac:dyDescent="0.6">
      <c r="A9" s="2"/>
      <c r="B9" s="28"/>
      <c r="C9" s="28"/>
      <c r="D9" s="28"/>
      <c r="E9" s="28"/>
      <c r="F9" s="32"/>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4"/>
    </row>
    <row r="10" spans="1:49" ht="18.75" customHeight="1" thickBot="1" x14ac:dyDescent="0.6">
      <c r="A10" s="2"/>
      <c r="B10" s="13" t="s">
        <v>7</v>
      </c>
      <c r="C10" s="4"/>
      <c r="D10" s="4"/>
      <c r="E10" s="4"/>
      <c r="F10" s="5"/>
      <c r="G10" s="5"/>
      <c r="H10" s="5"/>
      <c r="I10" s="5"/>
      <c r="J10" s="5"/>
      <c r="K10" s="5"/>
      <c r="L10" s="5"/>
      <c r="M10" s="5"/>
      <c r="N10" s="5"/>
      <c r="O10" s="4"/>
      <c r="P10" s="4"/>
      <c r="Q10" s="4"/>
      <c r="R10" s="4"/>
      <c r="S10" s="4"/>
      <c r="T10" s="4"/>
      <c r="U10" s="4"/>
      <c r="V10" s="6"/>
      <c r="W10" s="6"/>
      <c r="X10" s="6"/>
      <c r="Y10" s="6"/>
      <c r="Z10" s="4"/>
      <c r="AA10" s="4"/>
      <c r="AB10" s="4"/>
      <c r="AC10" s="4"/>
      <c r="AD10" s="7"/>
      <c r="AE10" s="7"/>
      <c r="AF10" s="7"/>
      <c r="AG10" s="7"/>
      <c r="AH10" s="7"/>
      <c r="AI10" s="7"/>
      <c r="AJ10" s="7"/>
      <c r="AK10" s="7"/>
      <c r="AL10" s="7"/>
      <c r="AM10" s="7"/>
      <c r="AN10" s="7"/>
      <c r="AO10" s="7"/>
      <c r="AP10" s="7"/>
      <c r="AQ10" s="7"/>
      <c r="AR10" s="7"/>
      <c r="AS10" s="7"/>
      <c r="AT10" s="7"/>
      <c r="AU10" s="7"/>
    </row>
    <row r="11" spans="1:49" ht="18.5" thickBot="1" x14ac:dyDescent="0.6">
      <c r="A11" s="2"/>
      <c r="B11" s="35" t="s">
        <v>12</v>
      </c>
      <c r="C11" s="35"/>
      <c r="D11" s="35"/>
      <c r="E11" s="35"/>
      <c r="F11" s="42" t="s">
        <v>13</v>
      </c>
      <c r="G11" s="42"/>
      <c r="H11" s="42"/>
      <c r="I11" s="42"/>
      <c r="J11" s="42"/>
      <c r="K11" s="42"/>
      <c r="L11" s="42"/>
      <c r="M11" s="42"/>
      <c r="N11" s="42"/>
      <c r="O11" s="42"/>
      <c r="P11" s="42"/>
      <c r="Q11" s="55" t="s">
        <v>14</v>
      </c>
      <c r="R11" s="55"/>
      <c r="S11" s="55"/>
      <c r="T11" s="55"/>
      <c r="U11" s="55"/>
      <c r="V11" s="55"/>
      <c r="W11" s="55"/>
      <c r="X11" s="55"/>
      <c r="Y11" s="55"/>
      <c r="Z11" s="55"/>
      <c r="AA11" s="55" t="s">
        <v>15</v>
      </c>
      <c r="AB11" s="55"/>
      <c r="AC11" s="55"/>
      <c r="AD11" s="55"/>
      <c r="AE11" s="55"/>
      <c r="AF11" s="55"/>
      <c r="AG11" s="55"/>
      <c r="AH11" s="55" t="s">
        <v>16</v>
      </c>
      <c r="AI11" s="55"/>
      <c r="AJ11" s="55"/>
      <c r="AK11" s="55"/>
      <c r="AL11" s="55"/>
      <c r="AM11" s="55"/>
      <c r="AN11" s="55"/>
      <c r="AO11" s="53" t="s">
        <v>17</v>
      </c>
      <c r="AP11" s="53"/>
      <c r="AQ11" s="53"/>
      <c r="AR11" s="53"/>
      <c r="AS11" s="53"/>
      <c r="AT11" s="53"/>
      <c r="AU11" s="53"/>
    </row>
    <row r="12" spans="1:49" ht="18.5" thickBot="1" x14ac:dyDescent="0.6">
      <c r="A12" s="2"/>
      <c r="B12" s="36"/>
      <c r="C12" s="36"/>
      <c r="D12" s="36"/>
      <c r="E12" s="36"/>
      <c r="F12" s="43"/>
      <c r="G12" s="43"/>
      <c r="H12" s="43"/>
      <c r="I12" s="43"/>
      <c r="J12" s="43"/>
      <c r="K12" s="43"/>
      <c r="L12" s="43"/>
      <c r="M12" s="43"/>
      <c r="N12" s="43"/>
      <c r="O12" s="43"/>
      <c r="P12" s="43"/>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4"/>
      <c r="AP12" s="54"/>
      <c r="AQ12" s="54"/>
      <c r="AR12" s="54"/>
      <c r="AS12" s="54"/>
      <c r="AT12" s="54"/>
      <c r="AU12" s="54"/>
    </row>
    <row r="13" spans="1:49" ht="18.5" thickBot="1" x14ac:dyDescent="0.6">
      <c r="A13" s="2"/>
      <c r="B13" s="70" t="s">
        <v>23</v>
      </c>
      <c r="C13" s="70"/>
      <c r="D13" s="70"/>
      <c r="E13" s="70"/>
      <c r="F13" s="8" t="s">
        <v>8</v>
      </c>
      <c r="G13" s="8"/>
      <c r="H13" s="8"/>
      <c r="I13" s="8"/>
      <c r="J13" s="8"/>
      <c r="K13" s="8"/>
      <c r="L13" s="8"/>
      <c r="M13" s="8"/>
      <c r="N13" s="8" t="s">
        <v>9</v>
      </c>
      <c r="O13" s="8"/>
      <c r="P13" s="8"/>
      <c r="Q13" s="8"/>
      <c r="R13" s="8"/>
      <c r="S13" s="8"/>
      <c r="T13" s="8"/>
      <c r="U13" s="8"/>
      <c r="V13" s="8"/>
      <c r="W13" s="8" t="s">
        <v>10</v>
      </c>
      <c r="X13" s="8"/>
      <c r="Y13" s="8"/>
      <c r="Z13" s="8"/>
      <c r="AA13" s="8"/>
      <c r="AB13" s="8"/>
      <c r="AC13" s="8"/>
      <c r="AD13" s="8"/>
      <c r="AE13" s="8"/>
      <c r="AF13" s="8" t="s">
        <v>11</v>
      </c>
      <c r="AG13" s="8"/>
      <c r="AH13" s="8"/>
      <c r="AI13" s="8"/>
      <c r="AJ13" s="8"/>
      <c r="AK13" s="8"/>
      <c r="AL13" s="8"/>
      <c r="AM13" s="8"/>
      <c r="AN13" s="8"/>
      <c r="AO13" s="8"/>
      <c r="AP13" s="8"/>
      <c r="AQ13" s="8" t="s">
        <v>28</v>
      </c>
      <c r="AR13" s="8"/>
      <c r="AS13" s="8"/>
      <c r="AT13" s="8"/>
      <c r="AU13" s="9"/>
    </row>
    <row r="14" spans="1:49" ht="18.75" customHeight="1" thickBot="1" x14ac:dyDescent="0.6">
      <c r="A14" s="2"/>
      <c r="B14" s="35"/>
      <c r="C14" s="35"/>
      <c r="D14" s="35"/>
      <c r="E14" s="35"/>
      <c r="F14" s="10" t="s">
        <v>29</v>
      </c>
      <c r="G14" s="10"/>
      <c r="H14" s="10"/>
      <c r="I14" s="10"/>
      <c r="J14" s="10"/>
      <c r="K14" s="10"/>
      <c r="L14" s="10"/>
      <c r="M14" s="10"/>
      <c r="N14" s="10" t="s">
        <v>30</v>
      </c>
      <c r="O14" s="10"/>
      <c r="P14" s="10"/>
      <c r="Q14" s="10"/>
      <c r="R14" s="10"/>
      <c r="S14" s="10"/>
      <c r="T14" s="10"/>
      <c r="U14" s="10"/>
      <c r="V14" s="10"/>
      <c r="W14" s="10" t="s">
        <v>31</v>
      </c>
      <c r="X14" s="10"/>
      <c r="Y14" s="10"/>
      <c r="Z14" s="10"/>
      <c r="AA14" s="10"/>
      <c r="AB14" s="10"/>
      <c r="AC14" s="10"/>
      <c r="AD14" s="10"/>
      <c r="AE14" s="10"/>
      <c r="AF14" s="10" t="s">
        <v>32</v>
      </c>
      <c r="AG14" s="10"/>
      <c r="AH14" s="10"/>
      <c r="AI14" s="10"/>
      <c r="AJ14" s="10"/>
      <c r="AK14" s="10"/>
      <c r="AL14" s="10"/>
      <c r="AM14" s="10"/>
      <c r="AN14" s="10"/>
      <c r="AO14" s="10"/>
      <c r="AP14" s="10"/>
      <c r="AQ14" s="10" t="s">
        <v>33</v>
      </c>
      <c r="AR14" s="10"/>
      <c r="AS14" s="10"/>
      <c r="AT14" s="10"/>
      <c r="AU14" s="11"/>
    </row>
    <row r="15" spans="1:49" x14ac:dyDescent="0.55000000000000004">
      <c r="A15" s="2"/>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row>
    <row r="16" spans="1:49" x14ac:dyDescent="0.55000000000000004">
      <c r="A16" s="2"/>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7"/>
      <c r="AN16" s="17"/>
      <c r="AO16" s="16"/>
      <c r="AP16" s="16"/>
      <c r="AQ16" s="16"/>
      <c r="AR16" s="16"/>
      <c r="AS16" s="14"/>
      <c r="AT16" s="14"/>
      <c r="AU16" s="14"/>
      <c r="AV16" s="12"/>
      <c r="AW16" s="12"/>
    </row>
    <row r="17" spans="1:49" x14ac:dyDescent="0.55000000000000004">
      <c r="A17" s="2"/>
      <c r="B17" s="71" t="s">
        <v>19</v>
      </c>
      <c r="C17" s="73"/>
      <c r="D17" s="113" t="s">
        <v>20</v>
      </c>
      <c r="E17" s="113"/>
      <c r="F17" s="113"/>
      <c r="G17" s="71" t="s">
        <v>22</v>
      </c>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3"/>
      <c r="AJ17" s="71" t="s">
        <v>23</v>
      </c>
      <c r="AK17" s="72"/>
      <c r="AL17" s="73"/>
      <c r="AM17" s="71" t="s">
        <v>34</v>
      </c>
      <c r="AN17" s="72"/>
      <c r="AO17" s="72"/>
      <c r="AP17" s="72"/>
      <c r="AQ17" s="72"/>
      <c r="AR17" s="72"/>
      <c r="AS17" s="72"/>
      <c r="AT17" s="72"/>
      <c r="AU17" s="73"/>
      <c r="AV17" s="12"/>
      <c r="AW17" s="12"/>
    </row>
    <row r="18" spans="1:49" ht="18" customHeight="1" x14ac:dyDescent="0.55000000000000004">
      <c r="A18" s="2"/>
      <c r="B18" s="114">
        <v>1</v>
      </c>
      <c r="C18" s="115"/>
      <c r="D18" s="120">
        <v>45352</v>
      </c>
      <c r="E18" s="120"/>
      <c r="F18" s="120"/>
      <c r="G18" s="83" t="s">
        <v>46</v>
      </c>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5"/>
      <c r="AJ18" s="83"/>
      <c r="AK18" s="84"/>
      <c r="AL18" s="85"/>
      <c r="AM18" s="92" t="s">
        <v>35</v>
      </c>
      <c r="AN18" s="93"/>
      <c r="AO18" s="74" t="s">
        <v>42</v>
      </c>
      <c r="AP18" s="75"/>
      <c r="AQ18" s="75"/>
      <c r="AR18" s="75"/>
      <c r="AS18" s="75"/>
      <c r="AT18" s="75"/>
      <c r="AU18" s="76"/>
      <c r="AV18" s="12"/>
      <c r="AW18" s="12"/>
    </row>
    <row r="19" spans="1:49" ht="18" customHeight="1" x14ac:dyDescent="0.55000000000000004">
      <c r="A19" s="2"/>
      <c r="B19" s="116"/>
      <c r="C19" s="117"/>
      <c r="D19" s="120"/>
      <c r="E19" s="120"/>
      <c r="F19" s="120"/>
      <c r="G19" s="71" t="s">
        <v>41</v>
      </c>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3"/>
      <c r="AJ19" s="83"/>
      <c r="AK19" s="84"/>
      <c r="AL19" s="85"/>
      <c r="AM19" s="94"/>
      <c r="AN19" s="95"/>
      <c r="AO19" s="77"/>
      <c r="AP19" s="78"/>
      <c r="AQ19" s="78"/>
      <c r="AR19" s="78"/>
      <c r="AS19" s="78"/>
      <c r="AT19" s="78"/>
      <c r="AU19" s="79"/>
      <c r="AV19" s="12"/>
      <c r="AW19" s="12"/>
    </row>
    <row r="20" spans="1:49" ht="18" customHeight="1" x14ac:dyDescent="0.55000000000000004">
      <c r="A20" s="2"/>
      <c r="B20" s="116"/>
      <c r="C20" s="117"/>
      <c r="D20" s="120"/>
      <c r="E20" s="120"/>
      <c r="F20" s="120"/>
      <c r="G20" s="110" t="s">
        <v>47</v>
      </c>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2"/>
      <c r="AJ20" s="83"/>
      <c r="AK20" s="84"/>
      <c r="AL20" s="85"/>
      <c r="AM20" s="96"/>
      <c r="AN20" s="97"/>
      <c r="AO20" s="80"/>
      <c r="AP20" s="81"/>
      <c r="AQ20" s="81"/>
      <c r="AR20" s="81"/>
      <c r="AS20" s="81"/>
      <c r="AT20" s="81"/>
      <c r="AU20" s="82"/>
      <c r="AV20" s="12"/>
      <c r="AW20" s="12"/>
    </row>
    <row r="21" spans="1:49" ht="18" customHeight="1" x14ac:dyDescent="0.55000000000000004">
      <c r="A21" s="2"/>
      <c r="B21" s="116"/>
      <c r="C21" s="117"/>
      <c r="D21" s="121" t="s">
        <v>21</v>
      </c>
      <c r="E21" s="122"/>
      <c r="F21" s="123"/>
      <c r="G21" s="110"/>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2"/>
      <c r="AJ21" s="71" t="s">
        <v>24</v>
      </c>
      <c r="AK21" s="72"/>
      <c r="AL21" s="73"/>
      <c r="AM21" s="92" t="s">
        <v>43</v>
      </c>
      <c r="AN21" s="93"/>
      <c r="AO21" s="74" t="s">
        <v>48</v>
      </c>
      <c r="AP21" s="75"/>
      <c r="AQ21" s="75"/>
      <c r="AR21" s="75"/>
      <c r="AS21" s="75"/>
      <c r="AT21" s="75"/>
      <c r="AU21" s="76"/>
      <c r="AV21" s="12"/>
      <c r="AW21" s="12"/>
    </row>
    <row r="22" spans="1:49" x14ac:dyDescent="0.55000000000000004">
      <c r="A22" s="2"/>
      <c r="B22" s="116"/>
      <c r="C22" s="117"/>
      <c r="D22" s="124"/>
      <c r="E22" s="125"/>
      <c r="F22" s="126"/>
      <c r="G22" s="110"/>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2"/>
      <c r="AJ22" s="86"/>
      <c r="AK22" s="87"/>
      <c r="AL22" s="88"/>
      <c r="AM22" s="94"/>
      <c r="AN22" s="95"/>
      <c r="AO22" s="77"/>
      <c r="AP22" s="78"/>
      <c r="AQ22" s="78"/>
      <c r="AR22" s="78"/>
      <c r="AS22" s="78"/>
      <c r="AT22" s="78"/>
      <c r="AU22" s="79"/>
      <c r="AV22" s="12"/>
      <c r="AW22" s="12"/>
    </row>
    <row r="23" spans="1:49" ht="18" customHeight="1" x14ac:dyDescent="0.55000000000000004">
      <c r="A23" s="2"/>
      <c r="B23" s="116"/>
      <c r="C23" s="117"/>
      <c r="D23" s="127">
        <v>45442</v>
      </c>
      <c r="E23" s="128"/>
      <c r="F23" s="129"/>
      <c r="G23" s="110"/>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2"/>
      <c r="AJ23" s="86"/>
      <c r="AK23" s="87"/>
      <c r="AL23" s="88"/>
      <c r="AM23" s="96"/>
      <c r="AN23" s="97"/>
      <c r="AO23" s="80"/>
      <c r="AP23" s="81"/>
      <c r="AQ23" s="81"/>
      <c r="AR23" s="81"/>
      <c r="AS23" s="81"/>
      <c r="AT23" s="81"/>
      <c r="AU23" s="82"/>
      <c r="AV23" s="12"/>
      <c r="AW23" s="12"/>
    </row>
    <row r="24" spans="1:49" ht="18" customHeight="1" x14ac:dyDescent="0.55000000000000004">
      <c r="A24" s="2"/>
      <c r="B24" s="116"/>
      <c r="C24" s="117"/>
      <c r="D24" s="130"/>
      <c r="E24" s="131"/>
      <c r="F24" s="132"/>
      <c r="G24" s="110"/>
      <c r="H24" s="111"/>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2"/>
      <c r="AJ24" s="86"/>
      <c r="AK24" s="87"/>
      <c r="AL24" s="88"/>
      <c r="AM24" s="92" t="s">
        <v>26</v>
      </c>
      <c r="AN24" s="93"/>
      <c r="AO24" s="74" t="s">
        <v>44</v>
      </c>
      <c r="AP24" s="75"/>
      <c r="AQ24" s="75"/>
      <c r="AR24" s="75"/>
      <c r="AS24" s="75"/>
      <c r="AT24" s="75"/>
      <c r="AU24" s="76"/>
      <c r="AV24" s="12"/>
      <c r="AW24" s="12"/>
    </row>
    <row r="25" spans="1:49" ht="18" customHeight="1" x14ac:dyDescent="0.55000000000000004">
      <c r="A25" s="2"/>
      <c r="B25" s="116"/>
      <c r="C25" s="117"/>
      <c r="D25" s="130"/>
      <c r="E25" s="131"/>
      <c r="F25" s="132"/>
      <c r="G25" s="110"/>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2"/>
      <c r="AJ25" s="89" t="s">
        <v>27</v>
      </c>
      <c r="AK25" s="90"/>
      <c r="AL25" s="91"/>
      <c r="AM25" s="94"/>
      <c r="AN25" s="95"/>
      <c r="AO25" s="77"/>
      <c r="AP25" s="78"/>
      <c r="AQ25" s="78"/>
      <c r="AR25" s="78"/>
      <c r="AS25" s="78"/>
      <c r="AT25" s="78"/>
      <c r="AU25" s="79"/>
      <c r="AV25" s="12"/>
      <c r="AW25" s="12"/>
    </row>
    <row r="26" spans="1:49" ht="18" customHeight="1" x14ac:dyDescent="0.55000000000000004">
      <c r="A26" s="2"/>
      <c r="B26" s="116"/>
      <c r="C26" s="117"/>
      <c r="D26" s="101">
        <f>DATEDIF(D18,D23,"M")+1</f>
        <v>3</v>
      </c>
      <c r="E26" s="102"/>
      <c r="F26" s="103"/>
      <c r="G26" s="110"/>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2"/>
      <c r="AJ26" s="89"/>
      <c r="AK26" s="90"/>
      <c r="AL26" s="91"/>
      <c r="AM26" s="96"/>
      <c r="AN26" s="97"/>
      <c r="AO26" s="80"/>
      <c r="AP26" s="81"/>
      <c r="AQ26" s="81"/>
      <c r="AR26" s="81"/>
      <c r="AS26" s="81"/>
      <c r="AT26" s="81"/>
      <c r="AU26" s="82"/>
      <c r="AV26" s="12"/>
      <c r="AW26" s="12"/>
    </row>
    <row r="27" spans="1:49" ht="18" customHeight="1" x14ac:dyDescent="0.55000000000000004">
      <c r="A27" s="2"/>
      <c r="B27" s="116"/>
      <c r="C27" s="117"/>
      <c r="D27" s="104"/>
      <c r="E27" s="105"/>
      <c r="F27" s="106"/>
      <c r="G27" s="110"/>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2"/>
      <c r="AJ27" s="86"/>
      <c r="AK27" s="87"/>
      <c r="AL27" s="88"/>
      <c r="AM27" s="139" t="s">
        <v>45</v>
      </c>
      <c r="AN27" s="93"/>
      <c r="AO27" s="74" t="s">
        <v>60</v>
      </c>
      <c r="AP27" s="75"/>
      <c r="AQ27" s="75"/>
      <c r="AR27" s="75"/>
      <c r="AS27" s="75"/>
      <c r="AT27" s="75"/>
      <c r="AU27" s="76"/>
      <c r="AV27" s="12"/>
      <c r="AW27" s="12"/>
    </row>
    <row r="28" spans="1:49" ht="18" customHeight="1" x14ac:dyDescent="0.55000000000000004">
      <c r="A28" s="2"/>
      <c r="B28" s="116"/>
      <c r="C28" s="117"/>
      <c r="D28" s="104"/>
      <c r="E28" s="105"/>
      <c r="F28" s="106"/>
      <c r="G28" s="110"/>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2"/>
      <c r="AJ28" s="86"/>
      <c r="AK28" s="87"/>
      <c r="AL28" s="88"/>
      <c r="AM28" s="140"/>
      <c r="AN28" s="95"/>
      <c r="AO28" s="77"/>
      <c r="AP28" s="78"/>
      <c r="AQ28" s="78"/>
      <c r="AR28" s="78"/>
      <c r="AS28" s="78"/>
      <c r="AT28" s="78"/>
      <c r="AU28" s="79"/>
      <c r="AV28" s="12"/>
      <c r="AW28" s="12"/>
    </row>
    <row r="29" spans="1:49" ht="18" customHeight="1" x14ac:dyDescent="0.55000000000000004">
      <c r="A29" s="2"/>
      <c r="B29" s="116"/>
      <c r="C29" s="117"/>
      <c r="D29" s="104"/>
      <c r="E29" s="105"/>
      <c r="F29" s="106"/>
      <c r="G29" s="110"/>
      <c r="H29" s="111"/>
      <c r="I29" s="111"/>
      <c r="J29" s="111"/>
      <c r="K29" s="111"/>
      <c r="L29" s="111"/>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2"/>
      <c r="AJ29" s="86"/>
      <c r="AK29" s="87"/>
      <c r="AL29" s="88"/>
      <c r="AM29" s="140"/>
      <c r="AN29" s="95"/>
      <c r="AO29" s="77"/>
      <c r="AP29" s="78"/>
      <c r="AQ29" s="78"/>
      <c r="AR29" s="78"/>
      <c r="AS29" s="78"/>
      <c r="AT29" s="78"/>
      <c r="AU29" s="79"/>
      <c r="AV29" s="12"/>
      <c r="AW29" s="12"/>
    </row>
    <row r="30" spans="1:49" ht="18" customHeight="1" x14ac:dyDescent="0.55000000000000004">
      <c r="A30" s="2"/>
      <c r="B30" s="116"/>
      <c r="C30" s="117"/>
      <c r="D30" s="104"/>
      <c r="E30" s="105"/>
      <c r="F30" s="106"/>
      <c r="G30" s="110"/>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2"/>
      <c r="AJ30" s="86"/>
      <c r="AK30" s="87"/>
      <c r="AL30" s="88"/>
      <c r="AM30" s="140"/>
      <c r="AN30" s="95"/>
      <c r="AO30" s="77"/>
      <c r="AP30" s="78"/>
      <c r="AQ30" s="78"/>
      <c r="AR30" s="78"/>
      <c r="AS30" s="78"/>
      <c r="AT30" s="78"/>
      <c r="AU30" s="79"/>
      <c r="AV30" s="12"/>
      <c r="AW30" s="12"/>
    </row>
    <row r="31" spans="1:49" ht="18" customHeight="1" x14ac:dyDescent="0.55000000000000004">
      <c r="A31" s="2"/>
      <c r="B31" s="116"/>
      <c r="C31" s="117"/>
      <c r="D31" s="104"/>
      <c r="E31" s="105"/>
      <c r="F31" s="106"/>
      <c r="G31" s="110"/>
      <c r="H31" s="111"/>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2"/>
      <c r="AJ31" s="86"/>
      <c r="AK31" s="87"/>
      <c r="AL31" s="88"/>
      <c r="AM31" s="140"/>
      <c r="AN31" s="95"/>
      <c r="AO31" s="77"/>
      <c r="AP31" s="78"/>
      <c r="AQ31" s="78"/>
      <c r="AR31" s="78"/>
      <c r="AS31" s="78"/>
      <c r="AT31" s="78"/>
      <c r="AU31" s="79"/>
      <c r="AV31" s="12"/>
      <c r="AW31" s="12"/>
    </row>
    <row r="32" spans="1:49" ht="18" customHeight="1" x14ac:dyDescent="0.55000000000000004">
      <c r="A32" s="16"/>
      <c r="B32" s="118"/>
      <c r="C32" s="119"/>
      <c r="D32" s="107"/>
      <c r="E32" s="108"/>
      <c r="F32" s="109"/>
      <c r="G32" s="110"/>
      <c r="H32" s="111"/>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2"/>
      <c r="AJ32" s="86"/>
      <c r="AK32" s="87"/>
      <c r="AL32" s="88"/>
      <c r="AM32" s="96"/>
      <c r="AN32" s="97"/>
      <c r="AO32" s="80"/>
      <c r="AP32" s="81"/>
      <c r="AQ32" s="81"/>
      <c r="AR32" s="81"/>
      <c r="AS32" s="81"/>
      <c r="AT32" s="81"/>
      <c r="AU32" s="82"/>
    </row>
    <row r="33" spans="1:49" x14ac:dyDescent="0.55000000000000004">
      <c r="A33" s="2"/>
      <c r="B33" s="133">
        <v>2</v>
      </c>
      <c r="C33" s="134"/>
      <c r="D33" s="72" t="s">
        <v>20</v>
      </c>
      <c r="E33" s="72"/>
      <c r="F33" s="73"/>
      <c r="G33" s="71" t="s">
        <v>22</v>
      </c>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3"/>
      <c r="AJ33" s="71" t="s">
        <v>23</v>
      </c>
      <c r="AK33" s="72"/>
      <c r="AL33" s="73"/>
      <c r="AM33" s="71" t="s">
        <v>25</v>
      </c>
      <c r="AN33" s="72"/>
      <c r="AO33" s="72"/>
      <c r="AP33" s="72"/>
      <c r="AQ33" s="72"/>
      <c r="AR33" s="72"/>
      <c r="AS33" s="72"/>
      <c r="AT33" s="72"/>
      <c r="AU33" s="73"/>
      <c r="AV33" s="12"/>
      <c r="AW33" s="12"/>
    </row>
    <row r="34" spans="1:49" ht="18" customHeight="1" x14ac:dyDescent="0.55000000000000004">
      <c r="A34" s="2"/>
      <c r="B34" s="135"/>
      <c r="C34" s="136"/>
      <c r="D34" s="128">
        <v>45444</v>
      </c>
      <c r="E34" s="128"/>
      <c r="F34" s="129"/>
      <c r="G34" s="83" t="s">
        <v>49</v>
      </c>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5"/>
      <c r="AJ34" s="92" t="s">
        <v>50</v>
      </c>
      <c r="AK34" s="141"/>
      <c r="AL34" s="93"/>
      <c r="AM34" s="92" t="s">
        <v>35</v>
      </c>
      <c r="AN34" s="93"/>
      <c r="AO34" s="74" t="s">
        <v>42</v>
      </c>
      <c r="AP34" s="75"/>
      <c r="AQ34" s="75"/>
      <c r="AR34" s="75"/>
      <c r="AS34" s="75"/>
      <c r="AT34" s="75"/>
      <c r="AU34" s="76"/>
      <c r="AV34" s="12"/>
      <c r="AW34" s="12"/>
    </row>
    <row r="35" spans="1:49" ht="18" customHeight="1" x14ac:dyDescent="0.55000000000000004">
      <c r="A35" s="2"/>
      <c r="B35" s="135"/>
      <c r="C35" s="136"/>
      <c r="D35" s="131"/>
      <c r="E35" s="131"/>
      <c r="F35" s="132"/>
      <c r="G35" s="71" t="s">
        <v>41</v>
      </c>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3"/>
      <c r="AJ35" s="94"/>
      <c r="AK35" s="142"/>
      <c r="AL35" s="95"/>
      <c r="AM35" s="94"/>
      <c r="AN35" s="95"/>
      <c r="AO35" s="77"/>
      <c r="AP35" s="78"/>
      <c r="AQ35" s="78"/>
      <c r="AR35" s="78"/>
      <c r="AS35" s="78"/>
      <c r="AT35" s="78"/>
      <c r="AU35" s="79"/>
      <c r="AV35" s="12"/>
      <c r="AW35" s="12"/>
    </row>
    <row r="36" spans="1:49" ht="18" customHeight="1" x14ac:dyDescent="0.55000000000000004">
      <c r="A36" s="2"/>
      <c r="B36" s="135"/>
      <c r="C36" s="136"/>
      <c r="D36" s="137"/>
      <c r="E36" s="137"/>
      <c r="F36" s="137"/>
      <c r="G36" s="98" t="s">
        <v>61</v>
      </c>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100"/>
      <c r="AJ36" s="143"/>
      <c r="AK36" s="143"/>
      <c r="AL36" s="97"/>
      <c r="AM36" s="96"/>
      <c r="AN36" s="97"/>
      <c r="AO36" s="80"/>
      <c r="AP36" s="81"/>
      <c r="AQ36" s="81"/>
      <c r="AR36" s="81"/>
      <c r="AS36" s="81"/>
      <c r="AT36" s="81"/>
      <c r="AU36" s="82"/>
      <c r="AV36" s="12"/>
      <c r="AW36" s="12"/>
    </row>
    <row r="37" spans="1:49" ht="18" customHeight="1" x14ac:dyDescent="0.55000000000000004">
      <c r="A37" s="2"/>
      <c r="B37" s="135"/>
      <c r="C37" s="136"/>
      <c r="D37" s="138" t="s">
        <v>21</v>
      </c>
      <c r="E37" s="138"/>
      <c r="F37" s="138"/>
      <c r="G37" s="98"/>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100"/>
      <c r="AJ37" s="72" t="s">
        <v>24</v>
      </c>
      <c r="AK37" s="72"/>
      <c r="AL37" s="73"/>
      <c r="AM37" s="92" t="s">
        <v>43</v>
      </c>
      <c r="AN37" s="93"/>
      <c r="AO37" t="s">
        <v>52</v>
      </c>
      <c r="AP37" s="18"/>
      <c r="AQ37" s="18"/>
      <c r="AR37" s="18"/>
      <c r="AS37" s="18"/>
      <c r="AT37" s="18"/>
      <c r="AU37" s="19"/>
      <c r="AV37" s="12"/>
      <c r="AW37" s="12"/>
    </row>
    <row r="38" spans="1:49" ht="18" customHeight="1" x14ac:dyDescent="0.55000000000000004">
      <c r="A38" s="2"/>
      <c r="B38" s="135"/>
      <c r="C38" s="136"/>
      <c r="D38" s="125"/>
      <c r="E38" s="125"/>
      <c r="F38" s="125"/>
      <c r="G38" s="98"/>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100"/>
      <c r="AJ38" s="141" t="s">
        <v>37</v>
      </c>
      <c r="AK38" s="141"/>
      <c r="AL38" s="93"/>
      <c r="AM38" s="94"/>
      <c r="AN38" s="95"/>
      <c r="AO38" s="20" t="s">
        <v>53</v>
      </c>
      <c r="AP38" s="21"/>
      <c r="AQ38" s="21"/>
      <c r="AR38" s="21"/>
      <c r="AS38" s="21"/>
      <c r="AT38" s="21"/>
      <c r="AU38" s="22"/>
      <c r="AV38" s="12"/>
      <c r="AW38" s="12"/>
    </row>
    <row r="39" spans="1:49" ht="18" customHeight="1" x14ac:dyDescent="0.55000000000000004">
      <c r="A39" s="2"/>
      <c r="B39" s="135"/>
      <c r="C39" s="136"/>
      <c r="D39" s="128">
        <v>46173</v>
      </c>
      <c r="E39" s="128"/>
      <c r="F39" s="128"/>
      <c r="G39" s="98"/>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100"/>
      <c r="AJ39" s="142"/>
      <c r="AK39" s="142"/>
      <c r="AL39" s="95"/>
      <c r="AM39" s="96"/>
      <c r="AN39" s="97"/>
      <c r="AO39" s="23" t="s">
        <v>54</v>
      </c>
      <c r="AP39" s="24"/>
      <c r="AQ39" s="24"/>
      <c r="AR39" s="24"/>
      <c r="AS39" s="24"/>
      <c r="AT39" s="24"/>
      <c r="AU39" s="25"/>
      <c r="AV39" s="12"/>
      <c r="AW39" s="12"/>
    </row>
    <row r="40" spans="1:49" ht="18" customHeight="1" x14ac:dyDescent="0.55000000000000004">
      <c r="A40" s="2"/>
      <c r="B40" s="135"/>
      <c r="C40" s="136"/>
      <c r="D40" s="131"/>
      <c r="E40" s="131"/>
      <c r="F40" s="131"/>
      <c r="G40" s="98"/>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100"/>
      <c r="AJ40" s="143"/>
      <c r="AK40" s="143"/>
      <c r="AL40" s="97"/>
      <c r="AM40" s="92" t="s">
        <v>26</v>
      </c>
      <c r="AN40" s="93"/>
      <c r="AO40" s="74" t="s">
        <v>44</v>
      </c>
      <c r="AP40" s="75"/>
      <c r="AQ40" s="75"/>
      <c r="AR40" s="75"/>
      <c r="AS40" s="75"/>
      <c r="AT40" s="75"/>
      <c r="AU40" s="76"/>
      <c r="AV40" s="12"/>
      <c r="AW40" s="12"/>
    </row>
    <row r="41" spans="1:49" ht="18" customHeight="1" x14ac:dyDescent="0.55000000000000004">
      <c r="A41" s="2"/>
      <c r="B41" s="135"/>
      <c r="C41" s="136"/>
      <c r="D41" s="137"/>
      <c r="E41" s="137"/>
      <c r="F41" s="137"/>
      <c r="G41" s="98"/>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100"/>
      <c r="AJ41" s="144" t="s">
        <v>27</v>
      </c>
      <c r="AK41" s="144"/>
      <c r="AL41" s="145"/>
      <c r="AM41" s="94"/>
      <c r="AN41" s="95"/>
      <c r="AO41" s="77"/>
      <c r="AP41" s="78"/>
      <c r="AQ41" s="78"/>
      <c r="AR41" s="78"/>
      <c r="AS41" s="78"/>
      <c r="AT41" s="78"/>
      <c r="AU41" s="79"/>
      <c r="AV41" s="12"/>
      <c r="AW41" s="12"/>
    </row>
    <row r="42" spans="1:49" ht="18" customHeight="1" x14ac:dyDescent="0.55000000000000004">
      <c r="A42" s="2"/>
      <c r="B42" s="135"/>
      <c r="C42" s="136"/>
      <c r="D42" s="102">
        <f>DATEDIF(D34,D39,"M")+1</f>
        <v>24</v>
      </c>
      <c r="E42" s="102"/>
      <c r="F42" s="102"/>
      <c r="G42" s="98"/>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100"/>
      <c r="AJ42" s="146"/>
      <c r="AK42" s="146"/>
      <c r="AL42" s="147"/>
      <c r="AM42" s="96"/>
      <c r="AN42" s="97"/>
      <c r="AO42" s="80"/>
      <c r="AP42" s="81"/>
      <c r="AQ42" s="81"/>
      <c r="AR42" s="81"/>
      <c r="AS42" s="81"/>
      <c r="AT42" s="81"/>
      <c r="AU42" s="82"/>
      <c r="AV42" s="12"/>
      <c r="AW42" s="12"/>
    </row>
    <row r="43" spans="1:49" ht="18" customHeight="1" x14ac:dyDescent="0.55000000000000004">
      <c r="A43" s="2"/>
      <c r="B43" s="135"/>
      <c r="C43" s="136"/>
      <c r="D43" s="105"/>
      <c r="E43" s="105"/>
      <c r="F43" s="105"/>
      <c r="G43" s="98"/>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100"/>
      <c r="AJ43" s="141" t="s">
        <v>51</v>
      </c>
      <c r="AK43" s="141"/>
      <c r="AL43" s="141"/>
      <c r="AM43" s="139" t="s">
        <v>45</v>
      </c>
      <c r="AN43" s="93"/>
      <c r="AO43" s="74" t="s">
        <v>55</v>
      </c>
      <c r="AP43" s="75"/>
      <c r="AQ43" s="75"/>
      <c r="AR43" s="75"/>
      <c r="AS43" s="75"/>
      <c r="AT43" s="75"/>
      <c r="AU43" s="76"/>
      <c r="AV43" s="12"/>
      <c r="AW43" s="12"/>
    </row>
    <row r="44" spans="1:49" ht="18" customHeight="1" x14ac:dyDescent="0.55000000000000004">
      <c r="A44" s="2"/>
      <c r="B44" s="135"/>
      <c r="C44" s="136"/>
      <c r="D44" s="105"/>
      <c r="E44" s="105"/>
      <c r="F44" s="105"/>
      <c r="G44" s="98"/>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100"/>
      <c r="AJ44" s="142"/>
      <c r="AK44" s="142"/>
      <c r="AL44" s="142"/>
      <c r="AM44" s="140"/>
      <c r="AN44" s="95"/>
      <c r="AO44" s="98"/>
      <c r="AP44" s="78"/>
      <c r="AQ44" s="78"/>
      <c r="AR44" s="78"/>
      <c r="AS44" s="78"/>
      <c r="AT44" s="78"/>
      <c r="AU44" s="79"/>
      <c r="AV44" s="12"/>
      <c r="AW44" s="12"/>
    </row>
    <row r="45" spans="1:49" ht="18" customHeight="1" x14ac:dyDescent="0.55000000000000004">
      <c r="A45" s="2"/>
      <c r="B45" s="135"/>
      <c r="C45" s="136"/>
      <c r="D45" s="105"/>
      <c r="E45" s="105"/>
      <c r="F45" s="105"/>
      <c r="G45" s="98"/>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100"/>
      <c r="AJ45" s="142"/>
      <c r="AK45" s="142"/>
      <c r="AL45" s="142"/>
      <c r="AM45" s="140"/>
      <c r="AN45" s="95"/>
      <c r="AO45" s="98"/>
      <c r="AP45" s="78"/>
      <c r="AQ45" s="78"/>
      <c r="AR45" s="78"/>
      <c r="AS45" s="78"/>
      <c r="AT45" s="78"/>
      <c r="AU45" s="79"/>
      <c r="AV45" s="12"/>
      <c r="AW45" s="12"/>
    </row>
    <row r="46" spans="1:49" ht="18" customHeight="1" x14ac:dyDescent="0.55000000000000004">
      <c r="A46" s="2"/>
      <c r="B46" s="135"/>
      <c r="C46" s="136"/>
      <c r="D46" s="105"/>
      <c r="E46" s="105"/>
      <c r="F46" s="105"/>
      <c r="G46" s="98"/>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100"/>
      <c r="AJ46" s="142"/>
      <c r="AK46" s="142"/>
      <c r="AL46" s="142"/>
      <c r="AM46" s="140"/>
      <c r="AN46" s="95"/>
      <c r="AO46" s="98"/>
      <c r="AP46" s="78"/>
      <c r="AQ46" s="78"/>
      <c r="AR46" s="78"/>
      <c r="AS46" s="78"/>
      <c r="AT46" s="78"/>
      <c r="AU46" s="79"/>
      <c r="AV46" s="12"/>
      <c r="AW46" s="12"/>
    </row>
    <row r="47" spans="1:49" ht="18" customHeight="1" x14ac:dyDescent="0.55000000000000004">
      <c r="A47" s="2"/>
      <c r="B47" s="135"/>
      <c r="C47" s="136"/>
      <c r="D47" s="105"/>
      <c r="E47" s="105"/>
      <c r="F47" s="105"/>
      <c r="G47" s="98"/>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100"/>
      <c r="AJ47" s="142"/>
      <c r="AK47" s="142"/>
      <c r="AL47" s="142"/>
      <c r="AM47" s="140"/>
      <c r="AN47" s="95"/>
      <c r="AO47" s="98"/>
      <c r="AP47" s="78"/>
      <c r="AQ47" s="78"/>
      <c r="AR47" s="78"/>
      <c r="AS47" s="78"/>
      <c r="AT47" s="78"/>
      <c r="AU47" s="79"/>
      <c r="AV47" s="12"/>
      <c r="AW47" s="12"/>
    </row>
    <row r="48" spans="1:49" ht="18" customHeight="1" x14ac:dyDescent="0.55000000000000004">
      <c r="A48" s="2"/>
      <c r="B48" s="135"/>
      <c r="C48" s="136"/>
      <c r="D48" s="105"/>
      <c r="E48" s="105"/>
      <c r="F48" s="105"/>
      <c r="G48" s="98"/>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100"/>
      <c r="AJ48" s="142"/>
      <c r="AK48" s="142"/>
      <c r="AL48" s="142"/>
      <c r="AM48" s="140"/>
      <c r="AN48" s="95"/>
      <c r="AO48" s="98"/>
      <c r="AP48" s="78"/>
      <c r="AQ48" s="78"/>
      <c r="AR48" s="78"/>
      <c r="AS48" s="78"/>
      <c r="AT48" s="78"/>
      <c r="AU48" s="79"/>
      <c r="AV48" s="12"/>
      <c r="AW48" s="12"/>
    </row>
    <row r="49" spans="1:49" ht="18" customHeight="1" x14ac:dyDescent="0.55000000000000004">
      <c r="A49" s="2"/>
      <c r="B49" s="135"/>
      <c r="C49" s="136"/>
      <c r="D49" s="105"/>
      <c r="E49" s="105"/>
      <c r="F49" s="105"/>
      <c r="G49" s="98"/>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100"/>
      <c r="AJ49" s="142"/>
      <c r="AK49" s="142"/>
      <c r="AL49" s="142"/>
      <c r="AM49" s="140"/>
      <c r="AN49" s="95"/>
      <c r="AO49" s="98"/>
      <c r="AP49" s="78"/>
      <c r="AQ49" s="78"/>
      <c r="AR49" s="78"/>
      <c r="AS49" s="78"/>
      <c r="AT49" s="78"/>
      <c r="AU49" s="79"/>
      <c r="AV49" s="12"/>
      <c r="AW49" s="12"/>
    </row>
    <row r="50" spans="1:49" ht="18" customHeight="1" x14ac:dyDescent="0.55000000000000004">
      <c r="A50" s="2"/>
      <c r="B50" s="135"/>
      <c r="C50" s="136"/>
      <c r="D50" s="105"/>
      <c r="E50" s="105"/>
      <c r="F50" s="105"/>
      <c r="G50" s="98"/>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100"/>
      <c r="AJ50" s="142"/>
      <c r="AK50" s="142"/>
      <c r="AL50" s="142"/>
      <c r="AM50" s="140"/>
      <c r="AN50" s="95"/>
      <c r="AO50" s="98"/>
      <c r="AP50" s="78"/>
      <c r="AQ50" s="78"/>
      <c r="AR50" s="78"/>
      <c r="AS50" s="78"/>
      <c r="AT50" s="78"/>
      <c r="AU50" s="79"/>
      <c r="AV50" s="12"/>
      <c r="AW50" s="12"/>
    </row>
    <row r="51" spans="1:49" ht="18" customHeight="1" x14ac:dyDescent="0.55000000000000004">
      <c r="A51" s="2"/>
      <c r="B51" s="135"/>
      <c r="C51" s="136"/>
      <c r="D51" s="105"/>
      <c r="E51" s="105"/>
      <c r="F51" s="105"/>
      <c r="G51" s="98"/>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100"/>
      <c r="AJ51" s="142"/>
      <c r="AK51" s="142"/>
      <c r="AL51" s="142"/>
      <c r="AM51" s="140"/>
      <c r="AN51" s="95"/>
      <c r="AO51" s="98"/>
      <c r="AP51" s="78"/>
      <c r="AQ51" s="78"/>
      <c r="AR51" s="78"/>
      <c r="AS51" s="78"/>
      <c r="AT51" s="78"/>
      <c r="AU51" s="79"/>
      <c r="AV51" s="12"/>
      <c r="AW51" s="12"/>
    </row>
    <row r="52" spans="1:49" ht="18" customHeight="1" x14ac:dyDescent="0.55000000000000004">
      <c r="A52" s="2"/>
      <c r="B52" s="135"/>
      <c r="C52" s="136"/>
      <c r="D52" s="105"/>
      <c r="E52" s="105"/>
      <c r="F52" s="105"/>
      <c r="G52" s="98"/>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100"/>
      <c r="AJ52" s="142"/>
      <c r="AK52" s="142"/>
      <c r="AL52" s="142"/>
      <c r="AM52" s="140"/>
      <c r="AN52" s="95"/>
      <c r="AO52" s="98"/>
      <c r="AP52" s="78"/>
      <c r="AQ52" s="78"/>
      <c r="AR52" s="78"/>
      <c r="AS52" s="78"/>
      <c r="AT52" s="78"/>
      <c r="AU52" s="79"/>
      <c r="AV52" s="12"/>
      <c r="AW52" s="12"/>
    </row>
    <row r="53" spans="1:49" ht="18" customHeight="1" x14ac:dyDescent="0.55000000000000004">
      <c r="A53" s="16"/>
      <c r="B53" s="135"/>
      <c r="C53" s="136"/>
      <c r="D53" s="105"/>
      <c r="E53" s="105"/>
      <c r="F53" s="105"/>
      <c r="G53" s="98"/>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100"/>
      <c r="AJ53" s="142"/>
      <c r="AK53" s="142"/>
      <c r="AL53" s="142"/>
      <c r="AM53" s="94"/>
      <c r="AN53" s="95"/>
      <c r="AO53" s="98"/>
      <c r="AP53" s="78"/>
      <c r="AQ53" s="78"/>
      <c r="AR53" s="78"/>
      <c r="AS53" s="78"/>
      <c r="AT53" s="78"/>
      <c r="AU53" s="79"/>
    </row>
    <row r="54" spans="1:49" ht="18" customHeight="1" x14ac:dyDescent="0.55000000000000004">
      <c r="A54" s="16"/>
      <c r="B54" s="135"/>
      <c r="C54" s="136"/>
      <c r="D54" s="105"/>
      <c r="E54" s="105"/>
      <c r="F54" s="105"/>
      <c r="G54" s="98"/>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100"/>
      <c r="AJ54" s="142"/>
      <c r="AK54" s="142"/>
      <c r="AL54" s="142"/>
      <c r="AM54" s="94"/>
      <c r="AN54" s="95"/>
      <c r="AO54" s="98"/>
      <c r="AP54" s="78"/>
      <c r="AQ54" s="78"/>
      <c r="AR54" s="78"/>
      <c r="AS54" s="78"/>
      <c r="AT54" s="78"/>
      <c r="AU54" s="79"/>
    </row>
    <row r="55" spans="1:49" x14ac:dyDescent="0.55000000000000004">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row>
  </sheetData>
  <mergeCells count="77">
    <mergeCell ref="AJ43:AL54"/>
    <mergeCell ref="AM43:AN54"/>
    <mergeCell ref="AO43:AU54"/>
    <mergeCell ref="AM37:AN39"/>
    <mergeCell ref="AO27:AU32"/>
    <mergeCell ref="AJ27:AL32"/>
    <mergeCell ref="AJ34:AL36"/>
    <mergeCell ref="AJ38:AL40"/>
    <mergeCell ref="AJ37:AL37"/>
    <mergeCell ref="AM40:AN42"/>
    <mergeCell ref="AJ41:AL42"/>
    <mergeCell ref="AO40:AU42"/>
    <mergeCell ref="G33:AI33"/>
    <mergeCell ref="AM27:AN32"/>
    <mergeCell ref="AM34:AN36"/>
    <mergeCell ref="AM33:AU33"/>
    <mergeCell ref="AJ33:AL33"/>
    <mergeCell ref="B33:C54"/>
    <mergeCell ref="D33:F33"/>
    <mergeCell ref="D34:F36"/>
    <mergeCell ref="D37:F38"/>
    <mergeCell ref="D39:F41"/>
    <mergeCell ref="D42:F54"/>
    <mergeCell ref="B17:C17"/>
    <mergeCell ref="D17:F17"/>
    <mergeCell ref="AO18:AU20"/>
    <mergeCell ref="AO21:AU23"/>
    <mergeCell ref="AO24:AU26"/>
    <mergeCell ref="AM24:AN26"/>
    <mergeCell ref="AM21:AN23"/>
    <mergeCell ref="B18:C32"/>
    <mergeCell ref="G17:AI17"/>
    <mergeCell ref="D18:F20"/>
    <mergeCell ref="D21:F22"/>
    <mergeCell ref="D23:F25"/>
    <mergeCell ref="B13:E14"/>
    <mergeCell ref="AM17:AU17"/>
    <mergeCell ref="AO34:AU36"/>
    <mergeCell ref="AJ17:AL17"/>
    <mergeCell ref="AJ18:AL20"/>
    <mergeCell ref="AJ21:AL21"/>
    <mergeCell ref="AJ22:AL24"/>
    <mergeCell ref="AJ25:AL26"/>
    <mergeCell ref="AM18:AN20"/>
    <mergeCell ref="G18:AI18"/>
    <mergeCell ref="G19:AI19"/>
    <mergeCell ref="G34:AI34"/>
    <mergeCell ref="G35:AI35"/>
    <mergeCell ref="G36:AI54"/>
    <mergeCell ref="D26:F32"/>
    <mergeCell ref="G20:AI32"/>
    <mergeCell ref="AM1:AS1"/>
    <mergeCell ref="B2:AU2"/>
    <mergeCell ref="B4:E4"/>
    <mergeCell ref="F4:Y4"/>
    <mergeCell ref="Z4:AA5"/>
    <mergeCell ref="AB4:AD5"/>
    <mergeCell ref="AE4:AH5"/>
    <mergeCell ref="AI4:AP5"/>
    <mergeCell ref="AQ4:AR5"/>
    <mergeCell ref="AS4:AU5"/>
    <mergeCell ref="B5:E5"/>
    <mergeCell ref="F5:Y5"/>
    <mergeCell ref="B8:E9"/>
    <mergeCell ref="F8:AU9"/>
    <mergeCell ref="B11:E12"/>
    <mergeCell ref="B6:E7"/>
    <mergeCell ref="F6:L7"/>
    <mergeCell ref="F11:P12"/>
    <mergeCell ref="M6:P7"/>
    <mergeCell ref="Z6:AD7"/>
    <mergeCell ref="Q6:Y7"/>
    <mergeCell ref="AE6:AU7"/>
    <mergeCell ref="AO11:AU12"/>
    <mergeCell ref="Q11:Z12"/>
    <mergeCell ref="AA11:AG12"/>
    <mergeCell ref="AH11:AN12"/>
  </mergeCells>
  <phoneticPr fontId="2"/>
  <pageMargins left="0.25" right="0.25" top="0.75" bottom="0.75" header="0.3" footer="0.3"/>
  <pageSetup paperSize="9" scale="5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スキルシート</vt:lpstr>
      <vt:lpstr>スキルシート!Print_Area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kurok</dc:creator>
  <cp:lastModifiedBy>雄太 森本</cp:lastModifiedBy>
  <cp:lastPrinted>2022-05-24T05:21:51Z</cp:lastPrinted>
  <dcterms:created xsi:type="dcterms:W3CDTF">2019-07-24T00:26:17Z</dcterms:created>
  <dcterms:modified xsi:type="dcterms:W3CDTF">2026-05-22T02:21:52Z</dcterms:modified>
</cp:coreProperties>
</file>